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CC-\"/>
    </mc:Choice>
  </mc:AlternateContent>
  <xr:revisionPtr revIDLastSave="0" documentId="13_ncr:1_{CA4E4E31-EBE1-4C60-88AE-E336BE22A9BA}" xr6:coauthVersionLast="47" xr6:coauthVersionMax="47" xr10:uidLastSave="{00000000-0000-0000-0000-000000000000}"/>
  <bookViews>
    <workbookView xWindow="-120" yWindow="-120" windowWidth="29040" windowHeight="15720" tabRatio="660" activeTab="1" xr2:uid="{00000000-000D-0000-FFFF-FFFF00000000}"/>
  </bookViews>
  <sheets>
    <sheet name="nm_basis_F, nm_modifier_F" sheetId="8" r:id="rId1"/>
    <sheet name="nm_basis_T, nm_modifier_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6" i="5" l="1"/>
  <c r="L16" i="5"/>
  <c r="K16" i="5" a="1"/>
  <c r="K16" i="5" s="1"/>
  <c r="J16" i="5" a="1"/>
  <c r="J16" i="5" s="1"/>
  <c r="V15" i="5"/>
  <c r="L15" i="5"/>
  <c r="K15" i="5" a="1"/>
  <c r="K15" i="5" s="1"/>
  <c r="J15" i="5" a="1"/>
  <c r="J15" i="5" s="1"/>
  <c r="V14" i="5"/>
  <c r="L14" i="5"/>
  <c r="K14" i="5" a="1"/>
  <c r="K14" i="5" s="1"/>
  <c r="J14" i="5" a="1"/>
  <c r="J14" i="5" s="1"/>
  <c r="V13" i="5"/>
  <c r="L13" i="5"/>
  <c r="K13" i="5" a="1"/>
  <c r="K13" i="5" s="1"/>
  <c r="J13" i="5" a="1"/>
  <c r="J13" i="5" s="1"/>
  <c r="V33" i="5"/>
  <c r="L33" i="5"/>
  <c r="V32" i="5"/>
  <c r="L32" i="5"/>
  <c r="V31" i="5"/>
  <c r="L31" i="5"/>
  <c r="V30" i="5"/>
  <c r="L30" i="5"/>
  <c r="V33" i="8"/>
  <c r="L33" i="8"/>
  <c r="V32" i="8"/>
  <c r="L32" i="8"/>
  <c r="V31" i="8"/>
  <c r="L31" i="8"/>
  <c r="V30" i="8"/>
  <c r="L30" i="8"/>
  <c r="V16" i="8"/>
  <c r="L16" i="8"/>
  <c r="K16" i="8" a="1"/>
  <c r="K16" i="8" s="1"/>
  <c r="J16" i="8" a="1"/>
  <c r="J16" i="8" s="1"/>
  <c r="V15" i="8"/>
  <c r="L15" i="8"/>
  <c r="K15" i="8" a="1"/>
  <c r="K15" i="8" s="1"/>
  <c r="J15" i="8" a="1"/>
  <c r="J15" i="8" s="1"/>
  <c r="V14" i="8"/>
  <c r="L14" i="8"/>
  <c r="K14" i="8" a="1"/>
  <c r="K14" i="8" s="1"/>
  <c r="J14" i="8" a="1"/>
  <c r="J14" i="8" s="1"/>
  <c r="V13" i="8"/>
  <c r="L13" i="8"/>
  <c r="K13" i="8" a="1"/>
  <c r="K13" i="8" s="1"/>
  <c r="J13" i="8" a="1"/>
  <c r="J13" i="8" s="1"/>
  <c r="V4" i="5"/>
  <c r="L4" i="5"/>
  <c r="K4" i="5" a="1"/>
  <c r="K4" i="5" s="1"/>
  <c r="J4" i="5" a="1"/>
  <c r="J4" i="5" s="1"/>
  <c r="V4" i="8"/>
  <c r="L4" i="8"/>
  <c r="K4" i="8" a="1"/>
  <c r="K4" i="8" s="1"/>
  <c r="J4" i="8" a="1"/>
  <c r="J4" i="8" s="1"/>
  <c r="V28" i="5"/>
  <c r="V27" i="5"/>
  <c r="V26" i="5"/>
  <c r="V25" i="5"/>
  <c r="V24" i="5"/>
  <c r="V22" i="5"/>
  <c r="V21" i="5"/>
  <c r="V20" i="5"/>
  <c r="V11" i="5"/>
  <c r="V10" i="5"/>
  <c r="V9" i="5"/>
  <c r="V8" i="5"/>
  <c r="V7" i="5"/>
  <c r="V5" i="5"/>
  <c r="V3" i="5"/>
  <c r="L28" i="5"/>
  <c r="L27" i="5"/>
  <c r="L26" i="5"/>
  <c r="L25" i="5"/>
  <c r="L24" i="5"/>
  <c r="L22" i="5"/>
  <c r="L21" i="5"/>
  <c r="L20" i="5"/>
  <c r="L11" i="5"/>
  <c r="L10" i="5"/>
  <c r="L9" i="5"/>
  <c r="L8" i="5"/>
  <c r="L7" i="5"/>
  <c r="L5" i="5"/>
  <c r="L3" i="5"/>
  <c r="V22" i="8"/>
  <c r="V24" i="8"/>
  <c r="V25" i="8"/>
  <c r="V26" i="8"/>
  <c r="V27" i="8"/>
  <c r="V28" i="8"/>
  <c r="V5" i="8"/>
  <c r="V7" i="8"/>
  <c r="V8" i="8"/>
  <c r="V9" i="8"/>
  <c r="V10" i="8"/>
  <c r="V11" i="8"/>
  <c r="L22" i="8"/>
  <c r="L24" i="8"/>
  <c r="L25" i="8"/>
  <c r="L26" i="8"/>
  <c r="L27" i="8"/>
  <c r="L28" i="8"/>
  <c r="L5" i="8"/>
  <c r="L7" i="8"/>
  <c r="L8" i="8"/>
  <c r="L9" i="8"/>
  <c r="L10" i="8"/>
  <c r="L11" i="8"/>
  <c r="V21" i="8"/>
  <c r="L21" i="8"/>
  <c r="V20" i="8"/>
  <c r="L20" i="8"/>
  <c r="K11" i="8" a="1"/>
  <c r="K11" i="8" s="1"/>
  <c r="J11" i="8" a="1"/>
  <c r="J11" i="8" s="1"/>
  <c r="K10" i="8" a="1"/>
  <c r="K10" i="8" s="1"/>
  <c r="J10" i="8" a="1"/>
  <c r="J10" i="8" s="1"/>
  <c r="K9" i="8" a="1"/>
  <c r="K9" i="8" s="1"/>
  <c r="J9" i="8" a="1"/>
  <c r="J9" i="8" s="1"/>
  <c r="K8" i="8" a="1"/>
  <c r="K8" i="8" s="1"/>
  <c r="J8" i="8" a="1"/>
  <c r="J8" i="8" s="1"/>
  <c r="K7" i="8" a="1"/>
  <c r="K7" i="8" s="1"/>
  <c r="J7" i="8" a="1"/>
  <c r="J7" i="8" s="1"/>
  <c r="K5" i="8" a="1"/>
  <c r="K5" i="8" s="1"/>
  <c r="J5" i="8" a="1"/>
  <c r="J5" i="8" s="1"/>
  <c r="V3" i="8"/>
  <c r="L3" i="8"/>
  <c r="K3" i="8" a="1"/>
  <c r="K3" i="8" s="1"/>
  <c r="J3" i="8" a="1"/>
  <c r="J3" i="8" s="1"/>
  <c r="J5" i="5" a="1"/>
  <c r="J5" i="5" s="1"/>
  <c r="K5" i="5" a="1"/>
  <c r="K5" i="5" s="1"/>
  <c r="K7" i="5" a="1"/>
  <c r="K7" i="5" s="1"/>
  <c r="K10" i="5" a="1"/>
  <c r="K10" i="5" s="1"/>
  <c r="K9" i="5" a="1"/>
  <c r="K9" i="5" s="1"/>
  <c r="K8" i="5" a="1"/>
  <c r="K8" i="5" s="1"/>
  <c r="J10" i="5" a="1"/>
  <c r="J10" i="5" s="1"/>
  <c r="J9" i="5" a="1"/>
  <c r="J9" i="5" s="1"/>
  <c r="J8" i="5" a="1"/>
  <c r="J8" i="5" s="1"/>
  <c r="J7" i="5" a="1"/>
  <c r="J7" i="5" s="1"/>
  <c r="K11" i="5" a="1"/>
  <c r="K11" i="5" s="1"/>
  <c r="J11" i="5" a="1"/>
  <c r="J11" i="5" s="1"/>
  <c r="J3" i="5" a="1"/>
  <c r="J3" i="5" s="1"/>
  <c r="K3" i="5" a="1"/>
  <c r="K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<sst xmlns="http://schemas.openxmlformats.org/spreadsheetml/2006/main" count="180" uniqueCount="23">
  <si>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</si>
  <si>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</si>
  <si>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</si>
  <si>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</si>
  <si>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</si>
  <si>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</si>
  <si>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</si>
  <si>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</si>
  <si>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</si>
  <si>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</si>
  <si>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</si>
  <si>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</si>
  <si>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</si>
  <si>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k=10, tp=30</t>
    <phoneticPr fontId="1" type="noConversion"/>
  </si>
  <si>
    <t>k=20, tp=30</t>
    <phoneticPr fontId="1" type="noConversion"/>
  </si>
  <si>
    <t>k=50, tp=30</t>
    <phoneticPr fontId="1" type="noConversion"/>
  </si>
  <si>
    <t>k=200, tp=30</t>
    <phoneticPr fontId="1" type="noConversion"/>
  </si>
  <si>
    <t>Heaviside, tp=30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</si>
  <si>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</si>
  <si>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</si>
  <si>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Baselines</t>
    <phoneticPr fontId="1" type="noConversion"/>
  </si>
  <si>
    <t>Proposed: PC-AEC</t>
    <phoneticPr fontId="1" type="noConversion"/>
  </si>
  <si>
    <t>Competitors: PCC &amp; PLV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</si>
</sst>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8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6D2E-BE4A-4A1F-8425-1EB62294D197}">
  <dimension ref="A1:V45"/>
  <sheetViews>
    <sheetView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77" t="s">
        <v>20</v>
      </c>
      <c r="B2" s="78"/>
      <c r="C2" s="78"/>
      <c r="D2" s="78"/>
      <c r="E2" s="78"/>
      <c r="F2" s="78"/>
      <c r="G2" s="78"/>
      <c r="H2" s="78"/>
      <c r="I2" s="79"/>
      <c r="J2" s="13"/>
      <c r="K2" s="13"/>
      <c r="L2" s="72"/>
      <c r="M2" s="77" t="s">
        <v>20</v>
      </c>
      <c r="N2" s="78"/>
      <c r="O2" s="78"/>
      <c r="P2" s="78"/>
      <c r="Q2" s="78"/>
      <c r="R2" s="78"/>
      <c r="S2" s="78"/>
      <c r="T2" s="78"/>
      <c r="U2" s="79"/>
      <c r="V2" s="72"/>
    </row>
    <row r="3" spans="1:22" ht="15.75" thickBot="1" x14ac:dyDescent="0.25">
      <c r="A3" s="77" t="s">
        <v>6</v>
      </c>
      <c r="B3" s="79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77" t="s">
        <v>6</v>
      </c>
      <c r="N3" s="79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7" t="s">
        <v>7</v>
      </c>
      <c r="B4" s="79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72" t="str">
        <f>"    "&amp;_xlfn.TEXTJOIN(", ",TRUE,C4:I4)&amp;","</f>
        <v xml:space="preserve">    93.2733587660793, 91.6155877934354, 90.6205330495939, 86.5975138193237, 78.2243502683126, 60.8549929786013, 48.7439337710534,</v>
      </c>
      <c r="M4" s="77" t="s">
        <v>7</v>
      </c>
      <c r="N4" s="79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72" t="str">
        <f t="shared" ref="V4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7" t="s">
        <v>12</v>
      </c>
      <c r="B5" s="79"/>
      <c r="C5" s="22">
        <v>87.593900000000005</v>
      </c>
      <c r="D5" s="33">
        <v>87.663716814159287</v>
      </c>
      <c r="E5" s="33">
        <v>88.112094395280209</v>
      </c>
      <c r="F5" s="33">
        <v>87.970025692263789</v>
      </c>
      <c r="G5" s="33">
        <v>87.461708146264243</v>
      </c>
      <c r="H5" s="33">
        <v>75.251363189416281</v>
      </c>
      <c r="I5" s="34">
        <v>47.720683858280204</v>
      </c>
      <c r="J5" s="18" cm="1">
        <f t="array" ref="J5">-SUMPRODUCT((D1:H1-C1:G1)*(C5:G5+D5:H5)/2)</f>
        <v>78.394630770414679</v>
      </c>
      <c r="K5" s="18" cm="1">
        <f t="array" ref="K5">-SUMPRODUCT((D1:I1-C1:H1)*(C5:H5+D5:I5)/2)</f>
        <v>81.468931946607086</v>
      </c>
      <c r="L5" s="72" t="str">
        <f>"    "&amp;_xlfn.TEXTJOIN(", ",TRUE,C5:I5)&amp;","</f>
        <v xml:space="preserve">    87.5939, 87.6637168141593, 88.1120943952802, 87.9700256922638, 87.4617081462642, 75.2513631894163, 47.7206838582802,</v>
      </c>
      <c r="M5" s="77" t="s">
        <v>12</v>
      </c>
      <c r="N5" s="79"/>
      <c r="O5" s="51">
        <v>2.4529187882918819</v>
      </c>
      <c r="P5" s="33">
        <v>2.16276566139488</v>
      </c>
      <c r="Q5" s="33">
        <v>2.2973398804747198</v>
      </c>
      <c r="R5" s="33">
        <v>2.134165319654592</v>
      </c>
      <c r="S5" s="33">
        <v>2.3834878752826651</v>
      </c>
      <c r="T5" s="33">
        <v>3.787986046410059</v>
      </c>
      <c r="U5" s="34">
        <v>3.7419646549723868</v>
      </c>
      <c r="V5" s="72" t="str">
        <f t="shared" ref="V5:V11" si="1">"    "&amp;_xlfn.TEXTJOIN(", ",TRUE,O5:U5)&amp;","</f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77" t="s">
        <v>21</v>
      </c>
      <c r="B6" s="78"/>
      <c r="C6" s="78"/>
      <c r="D6" s="78"/>
      <c r="E6" s="78"/>
      <c r="F6" s="78"/>
      <c r="G6" s="78"/>
      <c r="H6" s="78"/>
      <c r="I6" s="79"/>
      <c r="J6" s="18"/>
      <c r="K6" s="18"/>
      <c r="L6" s="72"/>
      <c r="M6" s="77" t="s">
        <v>21</v>
      </c>
      <c r="N6" s="78"/>
      <c r="O6" s="78"/>
      <c r="P6" s="78"/>
      <c r="Q6" s="78"/>
      <c r="R6" s="78"/>
      <c r="S6" s="78"/>
      <c r="T6" s="78"/>
      <c r="U6" s="79"/>
      <c r="V6" s="72"/>
    </row>
    <row r="7" spans="1:22" ht="15.75" customHeight="1" thickBot="1" x14ac:dyDescent="0.25">
      <c r="A7" s="21" t="s">
        <v>13</v>
      </c>
      <c r="B7" s="19" t="s">
        <v>8</v>
      </c>
      <c r="C7" s="35">
        <v>93.445427728613566</v>
      </c>
      <c r="D7" s="36">
        <v>92.679541633866492</v>
      </c>
      <c r="E7" s="36">
        <v>91.778048829718813</v>
      </c>
      <c r="F7" s="36">
        <v>86.101912646303177</v>
      </c>
      <c r="G7" s="36">
        <v>76.411364573511307</v>
      </c>
      <c r="H7" s="36">
        <v>57.953226238981308</v>
      </c>
      <c r="I7" s="37">
        <v>48.206233041231613</v>
      </c>
      <c r="J7" s="18" cm="1">
        <f t="array" ref="J7">-SUMPRODUCT((D1:H1-C1:G1)*(C7:G7+D7:H7)/2)</f>
        <v>78.954709527475728</v>
      </c>
      <c r="K7" s="18" cm="1">
        <f t="array" ref="K7">-SUMPRODUCT((D1:I1-C1:H1)*(C7:H7+D7:I7)/2)</f>
        <v>81.608696009481051</v>
      </c>
      <c r="L7" s="72" t="str">
        <f>"    "&amp;_xlfn.TEXTJOIN(", ",TRUE,C7:I7)&amp;","</f>
        <v xml:space="preserve">    93.4454277286136, 92.6795416338665, 91.7780488297188, 86.1019126463032, 76.4113645735113, 57.9532262389813, 48.2062330412316,</v>
      </c>
      <c r="M7" s="21" t="s">
        <v>13</v>
      </c>
      <c r="N7" s="19" t="s">
        <v>8</v>
      </c>
      <c r="O7" s="35">
        <v>3.63493493042722</v>
      </c>
      <c r="P7" s="36">
        <v>3.829027369587588</v>
      </c>
      <c r="Q7" s="36">
        <v>3.9601929542572698</v>
      </c>
      <c r="R7" s="36">
        <v>5.532817342256747</v>
      </c>
      <c r="S7" s="36">
        <v>8.6642228875149421</v>
      </c>
      <c r="T7" s="36">
        <v>11.126193200417109</v>
      </c>
      <c r="U7" s="37">
        <v>8.823918329653516</v>
      </c>
      <c r="V7" s="72" t="str">
        <f t="shared" si="1"/>
        <v xml:space="preserve">    3.63493493042722, 3.82902736958759, 3.96019295425727, 5.53281734225675, 8.66422288751494, 11.1261932004171, 8.82391832965352,</v>
      </c>
    </row>
    <row r="8" spans="1:22" ht="15.75" customHeight="1" thickBot="1" x14ac:dyDescent="0.25">
      <c r="A8" s="21" t="s">
        <v>14</v>
      </c>
      <c r="B8" s="19" t="s">
        <v>8</v>
      </c>
      <c r="C8" s="38">
        <v>93.388397246804345</v>
      </c>
      <c r="D8" s="70">
        <v>93.163300143888193</v>
      </c>
      <c r="E8" s="70">
        <v>92.495609823614373</v>
      </c>
      <c r="F8" s="70">
        <v>87.315233407440076</v>
      </c>
      <c r="G8" s="70">
        <v>78.960680167360138</v>
      </c>
      <c r="H8" s="70">
        <v>58.086984604826448</v>
      </c>
      <c r="I8" s="39">
        <v>49.221948286749893</v>
      </c>
      <c r="J8" s="18" cm="1">
        <f t="array" ref="J8">-SUMPRODUCT((D1:H1-C1:G1)*(C8:G8+D8:H8)/2)</f>
        <v>79.67358916022917</v>
      </c>
      <c r="K8" s="18" cm="1">
        <f t="array" ref="K8">-SUMPRODUCT((D1:I1-C1:H1)*(C8:H8+D8:I8)/2)</f>
        <v>82.356312482518575</v>
      </c>
      <c r="L8" s="72" t="str">
        <f>"    "&amp;_xlfn.TEXTJOIN(", ",TRUE,C8:I8)&amp;","</f>
        <v xml:space="preserve">    93.3883972468043, 93.1633001438882, 92.4956098236144, 87.3152334074401, 78.9606801673601, 58.0869846048264, 49.2219482867499,</v>
      </c>
      <c r="M8" s="21" t="s">
        <v>14</v>
      </c>
      <c r="N8" s="19" t="s">
        <v>8</v>
      </c>
      <c r="O8" s="38">
        <v>3.4981630251472922</v>
      </c>
      <c r="P8" s="70">
        <v>3.9467814636506868</v>
      </c>
      <c r="Q8" s="70">
        <v>3.7883844468706909</v>
      </c>
      <c r="R8" s="70">
        <v>5.0333040272245917</v>
      </c>
      <c r="S8" s="70">
        <v>7.6405602635793066</v>
      </c>
      <c r="T8" s="70">
        <v>10.453113037866681</v>
      </c>
      <c r="U8" s="39">
        <v>8.5320330439682177</v>
      </c>
      <c r="V8" s="72" t="str">
        <f t="shared" si="1"/>
        <v xml:space="preserve">    3.49816302514729, 3.94678146365069, 3.78838444687069, 5.03330402722459, 7.64056026357931, 10.4531130378667, 8.53203304396822,</v>
      </c>
    </row>
    <row r="9" spans="1:22" ht="15.75" customHeight="1" thickBot="1" x14ac:dyDescent="0.25">
      <c r="A9" s="21" t="s">
        <v>15</v>
      </c>
      <c r="B9" s="19" t="s">
        <v>8</v>
      </c>
      <c r="C9" s="38">
        <v>93.613592389784216</v>
      </c>
      <c r="D9" s="70">
        <v>93.426768397650477</v>
      </c>
      <c r="E9" s="70">
        <v>92.479842674532946</v>
      </c>
      <c r="F9" s="70">
        <v>88.890546919379346</v>
      </c>
      <c r="G9" s="70">
        <v>80.119822259131425</v>
      </c>
      <c r="H9" s="70">
        <v>59.483813297116178</v>
      </c>
      <c r="I9" s="39">
        <v>49.843669351234297</v>
      </c>
      <c r="J9" s="18" cm="1">
        <f t="array" ref="J9">-SUMPRODUCT((D1:H1-C1:G1)*(C9:G9+D9:H9)/2)</f>
        <v>80.186110678581414</v>
      </c>
      <c r="K9" s="18" cm="1">
        <f t="array" ref="K9">-SUMPRODUCT((D1:I1-C1:H1)*(C9:H9+D9:I9)/2)</f>
        <v>82.919297744790171</v>
      </c>
      <c r="L9" s="72" t="str">
        <f>"    "&amp;_xlfn.TEXTJOIN(", ",TRUE,C9:I9)&amp;","</f>
        <v xml:space="preserve">    93.6135923897842, 93.4267683976505, 92.4798426745329, 88.8905469193793, 80.1198222591314, 59.4838132971162, 49.8436693512343,</v>
      </c>
      <c r="M9" s="21" t="s">
        <v>15</v>
      </c>
      <c r="N9" s="19" t="s">
        <v>8</v>
      </c>
      <c r="O9" s="38">
        <v>3.4904911325590242</v>
      </c>
      <c r="P9" s="70">
        <v>3.547279587281706</v>
      </c>
      <c r="Q9" s="70">
        <v>3.6895012860209908</v>
      </c>
      <c r="R9" s="70">
        <v>3.86989890624888</v>
      </c>
      <c r="S9" s="70">
        <v>6.9025955141073956</v>
      </c>
      <c r="T9" s="70">
        <v>12.029344533453241</v>
      </c>
      <c r="U9" s="39">
        <v>9.9865747110765266</v>
      </c>
      <c r="V9" s="72" t="str">
        <f t="shared" si="1"/>
        <v xml:space="preserve">    3.49049113255902, 3.54727958728171, 3.68950128602099, 3.86989890624888, 6.9025955141074, 12.0293445334532, 9.98657471107653,</v>
      </c>
    </row>
    <row r="10" spans="1:22" ht="15.75" customHeight="1" thickBot="1" x14ac:dyDescent="0.25">
      <c r="A10" s="21" t="s">
        <v>16</v>
      </c>
      <c r="B10" s="19" t="s">
        <v>8</v>
      </c>
      <c r="C10" s="38">
        <v>93.419873874341491</v>
      </c>
      <c r="D10" s="70">
        <v>93.321580059804418</v>
      </c>
      <c r="E10" s="70">
        <v>92.657822876207121</v>
      </c>
      <c r="F10" s="70">
        <v>89.15140557732623</v>
      </c>
      <c r="G10" s="70">
        <v>79.779874105023978</v>
      </c>
      <c r="H10" s="70">
        <v>59.171532625714747</v>
      </c>
      <c r="I10" s="39">
        <v>47.4729539182865</v>
      </c>
      <c r="J10" s="18" cm="1">
        <f t="array" ref="J10">-SUMPRODUCT((D1:H1-C1:G1)*(C10:G10+D10:H10)/2)</f>
        <v>80.165164274777453</v>
      </c>
      <c r="K10" s="18" cm="1">
        <f t="array" ref="K10">-SUMPRODUCT((D1:I1-C1:H1)*(C10:H10+D10:I10)/2)</f>
        <v>82.831276438377486</v>
      </c>
      <c r="L10" s="72" t="str">
        <f>"    "&amp;_xlfn.TEXTJOIN(", ",TRUE,C10:I10)&amp;","</f>
        <v xml:space="preserve">    93.4198738743415, 93.3215800598044, 92.6578228762071, 89.1514055773262, 79.779874105024, 59.1715326257147, 47.4729539182865,</v>
      </c>
      <c r="M10" s="21" t="s">
        <v>16</v>
      </c>
      <c r="N10" s="19" t="s">
        <v>8</v>
      </c>
      <c r="O10" s="38">
        <v>3.6577853098018931</v>
      </c>
      <c r="P10" s="70">
        <v>3.619348066919728</v>
      </c>
      <c r="Q10" s="70">
        <v>3.7852978053283159</v>
      </c>
      <c r="R10" s="70">
        <v>4.0838982244041544</v>
      </c>
      <c r="S10" s="70">
        <v>7.1029176448925107</v>
      </c>
      <c r="T10" s="70">
        <v>10.804754951857261</v>
      </c>
      <c r="U10" s="39">
        <v>8.5667319395253703</v>
      </c>
      <c r="V10" s="72" t="str">
        <f t="shared" si="1"/>
        <v xml:space="preserve">    3.65778530980189, 3.61934806691973, 3.78529780532832, 4.08389822440415, 7.10291764489251, 10.8047549518573, 8.56673193952537,</v>
      </c>
    </row>
    <row r="11" spans="1:22" ht="15.75" customHeight="1" thickBot="1" x14ac:dyDescent="0.25">
      <c r="A11" s="4" t="s">
        <v>17</v>
      </c>
      <c r="B11" s="19" t="s">
        <v>8</v>
      </c>
      <c r="C11" s="40">
        <v>93.402168992234664</v>
      </c>
      <c r="D11" s="41">
        <v>93.248776661851196</v>
      </c>
      <c r="E11" s="41">
        <v>92.691271839145102</v>
      </c>
      <c r="F11" s="41">
        <v>88.452475079080841</v>
      </c>
      <c r="G11" s="41">
        <v>80.836250025230896</v>
      </c>
      <c r="H11" s="41">
        <v>58.587493548098742</v>
      </c>
      <c r="I11" s="42">
        <v>46.761612701378603</v>
      </c>
      <c r="J11" s="18" cm="1">
        <f t="array" ref="J11">-SUMPRODUCT((D1:H1-C1:G1)*(C11:G11+D11:H11)/2)</f>
        <v>80.123872395089933</v>
      </c>
      <c r="K11" s="18" cm="1">
        <f t="array" ref="K11">-SUMPRODUCT((D1:I1-C1:H1)*(C11:H11+D11:I11)/2)</f>
        <v>82.757600051326861</v>
      </c>
      <c r="L11" s="72" t="str">
        <f>"    "&amp;_xlfn.TEXTJOIN(", ",TRUE,C11:I11)&amp;","</f>
        <v xml:space="preserve">    93.4021689922347, 93.2487766618512, 92.6912718391451, 88.4524750790808, 80.8362500252309, 58.5874935480987, 46.7616127013786,</v>
      </c>
      <c r="M11" s="4" t="s">
        <v>17</v>
      </c>
      <c r="N11" s="19" t="s">
        <v>8</v>
      </c>
      <c r="O11" s="40">
        <v>3.54951767012634</v>
      </c>
      <c r="P11" s="41">
        <v>3.9476305437492138</v>
      </c>
      <c r="Q11" s="41">
        <v>3.9153520636466741</v>
      </c>
      <c r="R11" s="41">
        <v>4.7440261437688536</v>
      </c>
      <c r="S11" s="41">
        <v>6.9981331013815007</v>
      </c>
      <c r="T11" s="41">
        <v>10.73836101002882</v>
      </c>
      <c r="U11" s="42">
        <v>8.4598560379029468</v>
      </c>
      <c r="V11" s="72" t="str">
        <f t="shared" si="1"/>
        <v xml:space="preserve">    3.54951767012634, 3.94763054374921, 3.91535206364667, 4.74402614376885, 6.9981331013815, 10.7383610100288, 8.45985603790295,</v>
      </c>
    </row>
    <row r="12" spans="1:22" ht="15.75" customHeight="1" thickBot="1" x14ac:dyDescent="0.25">
      <c r="A12" s="77" t="s">
        <v>22</v>
      </c>
      <c r="B12" s="78"/>
      <c r="C12" s="80"/>
      <c r="D12" s="80"/>
      <c r="E12" s="80"/>
      <c r="F12" s="80"/>
      <c r="G12" s="80"/>
      <c r="H12" s="80"/>
      <c r="I12" s="81"/>
      <c r="J12" s="18"/>
      <c r="K12" s="18"/>
      <c r="L12" s="72"/>
      <c r="M12" s="77" t="s">
        <v>22</v>
      </c>
      <c r="N12" s="78"/>
      <c r="O12" s="80"/>
      <c r="P12" s="80"/>
      <c r="Q12" s="80"/>
      <c r="R12" s="80"/>
      <c r="S12" s="80"/>
      <c r="T12" s="80"/>
      <c r="U12" s="81"/>
      <c r="V12" s="72"/>
    </row>
    <row r="13" spans="1:22" ht="15.75" customHeight="1" thickBot="1" x14ac:dyDescent="0.25">
      <c r="A13" s="77" t="s">
        <v>9</v>
      </c>
      <c r="B13" s="79"/>
      <c r="C13" s="52">
        <v>93.782740335124032</v>
      </c>
      <c r="D13" s="53">
        <v>91.948208894540599</v>
      </c>
      <c r="E13" s="53">
        <v>90.212980504444957</v>
      </c>
      <c r="F13" s="53">
        <v>84.630388959535409</v>
      </c>
      <c r="G13" s="53">
        <v>75.371093175546491</v>
      </c>
      <c r="H13" s="53">
        <v>59.627211308056303</v>
      </c>
      <c r="I13" s="54">
        <v>47.844185503334799</v>
      </c>
      <c r="J13" s="18" cm="1">
        <f t="array" ref="J13">-SUMPRODUCT((D1:H1-C1:G1)*(C13:G13+D13:H13)/2)</f>
        <v>78.220843605913544</v>
      </c>
      <c r="K13" s="18" cm="1">
        <f t="array" ref="K13">-SUMPRODUCT((D1:I1-C1:H1)*(C13:H13+D13:I13)/2)</f>
        <v>80.907628526198323</v>
      </c>
      <c r="L13" s="72" t="str">
        <f>"    "&amp;_xlfn.TEXTJOIN(", ",TRUE,C13:I13)&amp;","</f>
        <v xml:space="preserve">    93.782740335124, 91.9482088945406, 90.212980504445, 84.6303889595354, 75.3710931755465, 59.6272113080563, 47.8441855033348,</v>
      </c>
      <c r="M13" s="77" t="s">
        <v>9</v>
      </c>
      <c r="N13" s="79"/>
      <c r="O13" s="52">
        <v>3.5391983918820551</v>
      </c>
      <c r="P13" s="53">
        <v>4.1060038651541966</v>
      </c>
      <c r="Q13" s="53">
        <v>4.774795806468676</v>
      </c>
      <c r="R13" s="53">
        <v>5.3483339064680431</v>
      </c>
      <c r="S13" s="53">
        <v>8.0994903921197494</v>
      </c>
      <c r="T13" s="53">
        <v>10.59987402205407</v>
      </c>
      <c r="U13" s="54">
        <v>8.7604668874903737</v>
      </c>
      <c r="V13" s="72" t="str">
        <f t="shared" ref="V13:V16" si="2">"    "&amp;_xlfn.TEXTJOIN(", ",TRUE,O13:U13)&amp;","</f>
        <v xml:space="preserve">    3.53919839188206, 4.1060038651542, 4.77479580646868, 5.34833390646804, 8.09949039211975, 10.5998740220541, 8.76046688749037,</v>
      </c>
    </row>
    <row r="14" spans="1:22" ht="15.75" customHeight="1" thickBot="1" x14ac:dyDescent="0.25">
      <c r="A14" s="82" t="s">
        <v>10</v>
      </c>
      <c r="B14" s="81"/>
      <c r="C14" s="55">
        <v>93.226230330712227</v>
      </c>
      <c r="D14" s="56">
        <v>91.83329152212967</v>
      </c>
      <c r="E14" s="56">
        <v>90.325291164571794</v>
      </c>
      <c r="F14" s="56">
        <v>85.383492360083878</v>
      </c>
      <c r="G14" s="56">
        <v>76.567000291236639</v>
      </c>
      <c r="H14" s="56">
        <v>59.41454222499042</v>
      </c>
      <c r="I14" s="57">
        <v>50.563407411252108</v>
      </c>
      <c r="J14" s="18" cm="1">
        <f t="array" ref="J14">-SUMPRODUCT((D1:H1-C1:G1)*(C14:G14+D14:H14)/2)</f>
        <v>78.369743178285859</v>
      </c>
      <c r="K14" s="18" cm="1">
        <f t="array" ref="K14">-SUMPRODUCT((D1:I1-C1:H1)*(C14:H14+D14:I14)/2)</f>
        <v>81.11919191919192</v>
      </c>
      <c r="L14" s="72" t="str">
        <f>"    "&amp;_xlfn.TEXTJOIN(", ",TRUE,C14:I14)&amp;","</f>
        <v xml:space="preserve">    93.2262303307122, 91.8332915221297, 90.3252911645718, 85.3834923600839, 76.5670002912366, 59.4145422249904, 50.5634074112521,</v>
      </c>
      <c r="M14" s="77" t="s">
        <v>10</v>
      </c>
      <c r="N14" s="79"/>
      <c r="O14" s="55">
        <v>3.945711842949601</v>
      </c>
      <c r="P14" s="56">
        <v>4.8525950161134093</v>
      </c>
      <c r="Q14" s="56">
        <v>4.4346894499148144</v>
      </c>
      <c r="R14" s="56">
        <v>5.4810029574676529</v>
      </c>
      <c r="S14" s="56">
        <v>8.4636725644600066</v>
      </c>
      <c r="T14" s="56">
        <v>10.788297692871961</v>
      </c>
      <c r="U14" s="57">
        <v>8.7433484877826491</v>
      </c>
      <c r="V14" s="72" t="str">
        <f t="shared" si="2"/>
        <v xml:space="preserve">    3.9457118429496, 4.85259501611341, 4.43468944991481, 5.48100295746765, 8.46367256446001, 10.788297692872, 8.74334848778265,</v>
      </c>
    </row>
    <row r="15" spans="1:22" ht="15.75" customHeight="1" thickBot="1" x14ac:dyDescent="0.25">
      <c r="A15" s="77" t="s">
        <v>18</v>
      </c>
      <c r="B15" s="79"/>
      <c r="C15" s="55">
        <v>93.004922187908207</v>
      </c>
      <c r="D15" s="56">
        <v>91.518502178507859</v>
      </c>
      <c r="E15" s="56">
        <v>89.729420958082102</v>
      </c>
      <c r="F15" s="56">
        <v>83.348607398564567</v>
      </c>
      <c r="G15" s="56">
        <v>74.087719905304837</v>
      </c>
      <c r="H15" s="56">
        <v>57.917332041511322</v>
      </c>
      <c r="I15" s="57">
        <v>48.007794185070807</v>
      </c>
      <c r="J15" s="18" cm="1">
        <f t="array" ref="J15">-SUMPRODUCT((D1:H1-C1:G1)*(C15:G15+D15:H15)/2)</f>
        <v>77.501290236074709</v>
      </c>
      <c r="K15" s="18" cm="1">
        <f t="array" ref="K15">-SUMPRODUCT((D1:I1-C1:H1)*(C15:H15+D15:I15)/2)</f>
        <v>80.14941839173926</v>
      </c>
      <c r="L15" s="72" t="str">
        <f>"    "&amp;_xlfn.TEXTJOIN(", ",TRUE,C15:I15)&amp;","</f>
        <v xml:space="preserve">    93.0049221879082, 91.5185021785079, 89.7294209580821, 83.3486073985646, 74.0877199053048, 57.9173320415113, 48.0077941850708,</v>
      </c>
      <c r="M15" s="77" t="s">
        <v>18</v>
      </c>
      <c r="N15" s="79"/>
      <c r="O15" s="55">
        <v>3.690401528555848</v>
      </c>
      <c r="P15" s="56">
        <v>4.2469367469027457</v>
      </c>
      <c r="Q15" s="56">
        <v>4.4611096369834957</v>
      </c>
      <c r="R15" s="56">
        <v>5.4089286426803449</v>
      </c>
      <c r="S15" s="56">
        <v>9.092124974067179</v>
      </c>
      <c r="T15" s="56">
        <v>10.83557708581068</v>
      </c>
      <c r="U15" s="57">
        <v>9.2904800440053528</v>
      </c>
      <c r="V15" s="72" t="str">
        <f t="shared" si="2"/>
        <v xml:space="preserve">    3.69040152855585, 4.24693674690275, 4.4611096369835, 5.40892864268034, 9.09212497406718, 10.8355770858107, 9.29048004400535,</v>
      </c>
    </row>
    <row r="16" spans="1:22" ht="15.75" customHeight="1" thickBot="1" x14ac:dyDescent="0.25">
      <c r="A16" s="77" t="s">
        <v>19</v>
      </c>
      <c r="B16" s="79"/>
      <c r="C16" s="58">
        <v>93.123279613145442</v>
      </c>
      <c r="D16" s="59">
        <v>91.674385879923975</v>
      </c>
      <c r="E16" s="59">
        <v>89.698688281617194</v>
      </c>
      <c r="F16" s="59">
        <v>84.957067102656595</v>
      </c>
      <c r="G16" s="59">
        <v>75.939082518014857</v>
      </c>
      <c r="H16" s="59">
        <v>59.995092229748238</v>
      </c>
      <c r="I16" s="60">
        <v>48.440303693515233</v>
      </c>
      <c r="J16" s="18" cm="1">
        <f t="array" ref="J16">-SUMPRODUCT((D1:H1-C1:G1)*(C16:G16+D16:H16)/2)</f>
        <v>78.078434213675436</v>
      </c>
      <c r="K16" s="18" cm="1">
        <f t="array" ref="K16">-SUMPRODUCT((D1:I1-C1:H1)*(C16:H16+D16:I16)/2)</f>
        <v>80.789319111757024</v>
      </c>
      <c r="L16" s="72" t="str">
        <f>"    "&amp;_xlfn.TEXTJOIN(", ",TRUE,C16:I16)&amp;","</f>
        <v xml:space="preserve">    93.1232796131454, 91.674385879924, 89.6986882816172, 84.9570671026566, 75.9390825180149, 59.9950922297482, 48.4403036935152,</v>
      </c>
      <c r="M16" s="77" t="s">
        <v>19</v>
      </c>
      <c r="N16" s="79"/>
      <c r="O16" s="58">
        <v>3.8088682011350912</v>
      </c>
      <c r="P16" s="59">
        <v>4.4783864386850611</v>
      </c>
      <c r="Q16" s="59">
        <v>5.0849840192173117</v>
      </c>
      <c r="R16" s="59">
        <v>5.0366327026230584</v>
      </c>
      <c r="S16" s="59">
        <v>7.6643798786674449</v>
      </c>
      <c r="T16" s="59">
        <v>10.05146904627655</v>
      </c>
      <c r="U16" s="60">
        <v>9.821397671709315</v>
      </c>
      <c r="V16" s="72" t="str">
        <f t="shared" si="2"/>
        <v xml:space="preserve">    3.80886820113509, 4.47838643868506, 5.08498401921731, 5.03663270262306, 7.66437987866744, 10.0514690462765, 9.82139767170931,</v>
      </c>
    </row>
    <row r="17" spans="1:22" ht="15" thickBo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73"/>
      <c r="M17" s="23"/>
      <c r="N17" s="23"/>
      <c r="O17" s="23"/>
      <c r="P17" s="23"/>
      <c r="Q17" s="23"/>
      <c r="R17" s="23"/>
      <c r="S17" s="23"/>
      <c r="T17" s="23"/>
      <c r="U17" s="23"/>
      <c r="V17" s="73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4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4"/>
    </row>
    <row r="19" spans="1:22" ht="15.75" thickBot="1" x14ac:dyDescent="0.25">
      <c r="A19" s="83" t="s">
        <v>20</v>
      </c>
      <c r="B19" s="84"/>
      <c r="C19" s="84"/>
      <c r="D19" s="84"/>
      <c r="E19" s="84"/>
      <c r="F19" s="84"/>
      <c r="G19" s="84"/>
      <c r="H19" s="84"/>
      <c r="I19" s="85"/>
      <c r="J19" s="14"/>
      <c r="K19" s="14"/>
      <c r="L19" s="74"/>
      <c r="M19" s="83" t="s">
        <v>20</v>
      </c>
      <c r="N19" s="84"/>
      <c r="O19" s="84"/>
      <c r="P19" s="84"/>
      <c r="Q19" s="84"/>
      <c r="R19" s="84"/>
      <c r="S19" s="84"/>
      <c r="T19" s="84"/>
      <c r="U19" s="85"/>
      <c r="V19" s="74"/>
    </row>
    <row r="20" spans="1:22" ht="15.75" thickBot="1" x14ac:dyDescent="0.25">
      <c r="A20" s="83" t="s">
        <v>6</v>
      </c>
      <c r="B20" s="85"/>
      <c r="C20" s="25">
        <v>92.567111769713335</v>
      </c>
      <c r="D20" s="25">
        <v>90.835858608343599</v>
      </c>
      <c r="E20" s="25">
        <v>89.217505339533233</v>
      </c>
      <c r="F20" s="25">
        <v>83.237245964288078</v>
      </c>
      <c r="G20" s="25">
        <v>75.380430844191011</v>
      </c>
      <c r="H20" s="25">
        <v>58.994367187597383</v>
      </c>
      <c r="I20" s="26">
        <v>43.622535641382179</v>
      </c>
      <c r="J20" s="24"/>
      <c r="K20" s="24"/>
      <c r="L20" s="74" t="str">
        <f>"    "&amp;_xlfn.TEXTJOIN(", ",TRUE,C20:I20)&amp;","</f>
        <v xml:space="preserve">    92.5671117697133, 90.8358586083436, 89.2175053395332, 83.2372459642881, 75.380430844191, 58.9943671875974, 43.6225356413822,</v>
      </c>
      <c r="M20" s="83" t="s">
        <v>2</v>
      </c>
      <c r="N20" s="85"/>
      <c r="O20" s="27">
        <v>3.88093621561358</v>
      </c>
      <c r="P20" s="25">
        <v>4.8164746829677396</v>
      </c>
      <c r="Q20" s="25">
        <v>5.2250608386616522</v>
      </c>
      <c r="R20" s="25">
        <v>5.6675721086724113</v>
      </c>
      <c r="S20" s="25">
        <v>8.3263283482936075</v>
      </c>
      <c r="T20" s="25">
        <v>10.49020927094638</v>
      </c>
      <c r="U20" s="26">
        <v>11.060437347759546</v>
      </c>
      <c r="V20" s="74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83" t="s">
        <v>7</v>
      </c>
      <c r="B21" s="85"/>
      <c r="C21" s="25">
        <v>92.866950218042462</v>
      </c>
      <c r="D21" s="25">
        <v>91.242690764745561</v>
      </c>
      <c r="E21" s="25">
        <v>90.137053227698445</v>
      </c>
      <c r="F21" s="25">
        <v>86.080152926613408</v>
      </c>
      <c r="G21" s="25">
        <v>77.410217255196784</v>
      </c>
      <c r="H21" s="25">
        <v>59.676194764980139</v>
      </c>
      <c r="I21" s="26">
        <v>46.395490419404197</v>
      </c>
      <c r="J21" s="24"/>
      <c r="K21" s="24"/>
      <c r="L21" s="74" t="str">
        <f>"    "&amp;_xlfn.TEXTJOIN(", ",TRUE,C21:I21)&amp;","</f>
        <v xml:space="preserve">    92.8669502180425, 91.2426907647456, 90.1370532276984, 86.0801529266134, 77.4102172551968, 59.6761947649801, 46.3954904194042,</v>
      </c>
      <c r="M21" s="83" t="s">
        <v>7</v>
      </c>
      <c r="N21" s="85"/>
      <c r="O21" s="25">
        <v>3.8319643020864191</v>
      </c>
      <c r="P21" s="25">
        <v>4.3603246705255447</v>
      </c>
      <c r="Q21" s="25">
        <v>4.7987735191879262</v>
      </c>
      <c r="R21" s="25">
        <v>5.1262965367330251</v>
      </c>
      <c r="S21" s="25">
        <v>7.087258799823358</v>
      </c>
      <c r="T21" s="25">
        <v>9.7457736576346736</v>
      </c>
      <c r="U21" s="26">
        <v>10.021578856839133</v>
      </c>
      <c r="V21" s="74" t="str">
        <f t="shared" ref="V21:V33" si="3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83" t="s">
        <v>12</v>
      </c>
      <c r="B22" s="85"/>
      <c r="C22" s="30">
        <v>87.268396410214976</v>
      </c>
      <c r="D22" s="31">
        <v>87.256428398686779</v>
      </c>
      <c r="E22" s="31">
        <v>87.822106304170404</v>
      </c>
      <c r="F22" s="31">
        <v>87.68072644235157</v>
      </c>
      <c r="G22" s="31">
        <v>87.144879367185226</v>
      </c>
      <c r="H22" s="31">
        <v>74.976567886515753</v>
      </c>
      <c r="I22" s="32">
        <v>46.41754739488244</v>
      </c>
      <c r="J22" s="24"/>
      <c r="K22" s="24"/>
      <c r="L22" s="74" t="str">
        <f t="shared" ref="L22:L28" si="4">"    "&amp;_xlfn.TEXTJOIN(", ",TRUE,C22:I22)&amp;","</f>
        <v xml:space="preserve">    87.268396410215, 87.2564283986868, 87.8221063041704, 87.6807264423516, 87.1448793671852, 74.9765678865158, 46.4175473948824,</v>
      </c>
      <c r="M22" s="83" t="s">
        <v>12</v>
      </c>
      <c r="N22" s="85"/>
      <c r="O22" s="30">
        <v>2.610595868561878</v>
      </c>
      <c r="P22" s="31">
        <v>2.3209805270224559</v>
      </c>
      <c r="Q22" s="31">
        <v>2.4426244152699921</v>
      </c>
      <c r="R22" s="31">
        <v>2.2821255442986761</v>
      </c>
      <c r="S22" s="31">
        <v>2.523131741400912</v>
      </c>
      <c r="T22" s="31">
        <v>3.7626100419371111</v>
      </c>
      <c r="U22" s="32">
        <v>4.1161081119796732</v>
      </c>
      <c r="V22" s="74" t="str">
        <f t="shared" si="3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83" t="s">
        <v>21</v>
      </c>
      <c r="B23" s="84"/>
      <c r="C23" s="84"/>
      <c r="D23" s="84"/>
      <c r="E23" s="84"/>
      <c r="F23" s="84"/>
      <c r="G23" s="84"/>
      <c r="H23" s="84"/>
      <c r="I23" s="85"/>
      <c r="J23" s="24"/>
      <c r="K23" s="24"/>
      <c r="L23" s="74"/>
      <c r="M23" s="83" t="s">
        <v>21</v>
      </c>
      <c r="N23" s="84"/>
      <c r="O23" s="84"/>
      <c r="P23" s="84"/>
      <c r="Q23" s="84"/>
      <c r="R23" s="84"/>
      <c r="S23" s="84"/>
      <c r="T23" s="84"/>
      <c r="U23" s="85"/>
      <c r="V23" s="74"/>
    </row>
    <row r="24" spans="1:22" ht="15.75" thickBot="1" x14ac:dyDescent="0.25">
      <c r="A24" s="28" t="s">
        <v>13</v>
      </c>
      <c r="B24" s="20" t="s">
        <v>8</v>
      </c>
      <c r="C24" s="43">
        <v>93.133759233645321</v>
      </c>
      <c r="D24" s="44">
        <v>92.304672382146748</v>
      </c>
      <c r="E24" s="44">
        <v>91.444189185562351</v>
      </c>
      <c r="F24" s="44">
        <v>85.426521654212891</v>
      </c>
      <c r="G24" s="44">
        <v>75.317629576892514</v>
      </c>
      <c r="H24" s="44">
        <v>56.610947325686737</v>
      </c>
      <c r="I24" s="45">
        <v>45.748190075003762</v>
      </c>
      <c r="J24" s="24"/>
      <c r="K24" s="24"/>
      <c r="L24" s="74" t="str">
        <f t="shared" si="4"/>
        <v xml:space="preserve">    93.1337592336453, 92.3046723821467, 91.4441891855624, 85.4265216542129, 75.3176295768925, 56.6109473256867, 45.7481900750038,</v>
      </c>
      <c r="M24" s="28" t="s">
        <v>13</v>
      </c>
      <c r="N24" s="20" t="s">
        <v>8</v>
      </c>
      <c r="O24" s="43">
        <v>3.9121971941809219</v>
      </c>
      <c r="P24" s="44">
        <v>4.1282087050536456</v>
      </c>
      <c r="Q24" s="44">
        <v>4.2494003623292071</v>
      </c>
      <c r="R24" s="44">
        <v>5.9916557475032972</v>
      </c>
      <c r="S24" s="44">
        <v>9.1687256062392883</v>
      </c>
      <c r="T24" s="44">
        <v>11.456152961024539</v>
      </c>
      <c r="U24" s="45">
        <v>9.6333908055861777</v>
      </c>
      <c r="V24" s="74" t="str">
        <f t="shared" si="3"/>
        <v xml:space="preserve">    3.91219719418092, 4.12820870505365, 4.24940036232921, 5.9916557475033, 9.16872560623929, 11.4561529610245, 9.63339080558618,</v>
      </c>
    </row>
    <row r="25" spans="1:22" ht="15.75" thickBot="1" x14ac:dyDescent="0.25">
      <c r="A25" s="28" t="s">
        <v>14</v>
      </c>
      <c r="B25" s="20" t="s">
        <v>8</v>
      </c>
      <c r="C25" s="46">
        <v>93.00867691832353</v>
      </c>
      <c r="D25" s="71">
        <v>92.808329186135168</v>
      </c>
      <c r="E25" s="71">
        <v>92.155151633654143</v>
      </c>
      <c r="F25" s="71">
        <v>86.738552710653849</v>
      </c>
      <c r="G25" s="71">
        <v>78.197798518912975</v>
      </c>
      <c r="H25" s="71">
        <v>56.561308145979318</v>
      </c>
      <c r="I25" s="47">
        <v>47.028535962020889</v>
      </c>
      <c r="J25" s="24"/>
      <c r="K25" s="24"/>
      <c r="L25" s="74" t="str">
        <f t="shared" si="4"/>
        <v xml:space="preserve">    93.0086769183235, 92.8083291861352, 92.1551516336541, 86.7385527106538, 78.197798518913, 56.5613081459793, 47.0285359620209,</v>
      </c>
      <c r="M25" s="28" t="s">
        <v>14</v>
      </c>
      <c r="N25" s="20" t="s">
        <v>8</v>
      </c>
      <c r="O25" s="46">
        <v>3.827911542316786</v>
      </c>
      <c r="P25" s="71">
        <v>4.295435916434271</v>
      </c>
      <c r="Q25" s="71">
        <v>4.0327388862965838</v>
      </c>
      <c r="R25" s="71">
        <v>5.4347526001929642</v>
      </c>
      <c r="S25" s="71">
        <v>8.1150967642968386</v>
      </c>
      <c r="T25" s="71">
        <v>11.129229244930199</v>
      </c>
      <c r="U25" s="47">
        <v>9.1925341098966111</v>
      </c>
      <c r="V25" s="74" t="str">
        <f t="shared" si="3"/>
        <v xml:space="preserve">    3.82791154231679, 4.29543591643427, 4.03273888629658, 5.43475260019296, 8.11509676429684, 11.1292292449302, 9.19253410989661,</v>
      </c>
    </row>
    <row r="26" spans="1:22" ht="15.75" thickBot="1" x14ac:dyDescent="0.25">
      <c r="A26" s="28" t="s">
        <v>15</v>
      </c>
      <c r="B26" s="20" t="s">
        <v>8</v>
      </c>
      <c r="C26" s="46">
        <v>93.210882768202708</v>
      </c>
      <c r="D26" s="71">
        <v>93.062739675926835</v>
      </c>
      <c r="E26" s="71">
        <v>92.059253772238407</v>
      </c>
      <c r="F26" s="71">
        <v>88.424027502938245</v>
      </c>
      <c r="G26" s="71">
        <v>79.460251634343123</v>
      </c>
      <c r="H26" s="71">
        <v>58.236914996017987</v>
      </c>
      <c r="I26" s="47">
        <v>47.974849720157962</v>
      </c>
      <c r="J26" s="24"/>
      <c r="K26" s="24"/>
      <c r="L26" s="74" t="str">
        <f t="shared" si="4"/>
        <v xml:space="preserve">    93.2108827682027, 93.0627396759268, 92.0592537722384, 88.4240275029382, 79.4602516343431, 58.236914996018, 47.974849720158,</v>
      </c>
      <c r="M26" s="28" t="s">
        <v>15</v>
      </c>
      <c r="N26" s="20" t="s">
        <v>8</v>
      </c>
      <c r="O26" s="46">
        <v>3.8733696056645068</v>
      </c>
      <c r="P26" s="71">
        <v>3.9007882077622931</v>
      </c>
      <c r="Q26" s="71">
        <v>4.0480191778596391</v>
      </c>
      <c r="R26" s="71">
        <v>4.2338738496871349</v>
      </c>
      <c r="S26" s="71">
        <v>7.2601408256288931</v>
      </c>
      <c r="T26" s="71">
        <v>12.70788948491346</v>
      </c>
      <c r="U26" s="47">
        <v>10.35393856330248</v>
      </c>
      <c r="V26" s="74" t="str">
        <f t="shared" si="3"/>
        <v xml:space="preserve">    3.87336960566451, 3.90078820776229, 4.04801917785964, 4.23387384968713, 7.26014082562889, 12.7078894849135, 10.3539385633025,</v>
      </c>
    </row>
    <row r="27" spans="1:22" ht="15.75" thickBot="1" x14ac:dyDescent="0.25">
      <c r="A27" s="28" t="s">
        <v>16</v>
      </c>
      <c r="B27" s="20" t="s">
        <v>8</v>
      </c>
      <c r="C27" s="46">
        <v>93.01379316748195</v>
      </c>
      <c r="D27" s="71">
        <v>92.941508271940833</v>
      </c>
      <c r="E27" s="71">
        <v>92.339429114218376</v>
      </c>
      <c r="F27" s="71">
        <v>88.601972563181917</v>
      </c>
      <c r="G27" s="71">
        <v>79.027143680189567</v>
      </c>
      <c r="H27" s="71">
        <v>57.95578617545695</v>
      </c>
      <c r="I27" s="47">
        <v>45.06038183001656</v>
      </c>
      <c r="J27" s="24"/>
      <c r="K27" s="24"/>
      <c r="L27" s="74" t="str">
        <f t="shared" si="4"/>
        <v xml:space="preserve">    93.0137931674819, 92.9415082719408, 92.3394291142184, 88.6019725631819, 79.0271436801896, 57.955786175457, 45.0603818300166,</v>
      </c>
      <c r="M27" s="28" t="s">
        <v>16</v>
      </c>
      <c r="N27" s="20" t="s">
        <v>8</v>
      </c>
      <c r="O27" s="46">
        <v>4.0554518124822918</v>
      </c>
      <c r="P27" s="71">
        <v>4.0011641326859841</v>
      </c>
      <c r="Q27" s="71">
        <v>4.1357826677442384</v>
      </c>
      <c r="R27" s="71">
        <v>4.4957043755433128</v>
      </c>
      <c r="S27" s="71">
        <v>7.5674880357999452</v>
      </c>
      <c r="T27" s="71">
        <v>11.37378419889658</v>
      </c>
      <c r="U27" s="47">
        <v>9.5703104609553549</v>
      </c>
      <c r="V27" s="74" t="str">
        <f t="shared" si="3"/>
        <v xml:space="preserve">    4.05545181248229, 4.00116413268598, 4.13578266774424, 4.49570437554331, 7.56748803579995, 11.3737841988966, 9.57031046095535,</v>
      </c>
    </row>
    <row r="28" spans="1:22" ht="15.75" thickBot="1" x14ac:dyDescent="0.25">
      <c r="A28" s="29" t="s">
        <v>17</v>
      </c>
      <c r="B28" s="20" t="s">
        <v>8</v>
      </c>
      <c r="C28" s="48">
        <v>93.003107171421291</v>
      </c>
      <c r="D28" s="49">
        <v>92.882665900806714</v>
      </c>
      <c r="E28" s="49">
        <v>92.323250249861715</v>
      </c>
      <c r="F28" s="49">
        <v>87.896361279111929</v>
      </c>
      <c r="G28" s="49">
        <v>80.149965599113543</v>
      </c>
      <c r="H28" s="49">
        <v>57.360910597574737</v>
      </c>
      <c r="I28" s="50">
        <v>43.986149507359343</v>
      </c>
      <c r="J28" s="24"/>
      <c r="K28" s="24"/>
      <c r="L28" s="74" t="str">
        <f t="shared" si="4"/>
        <v xml:space="preserve">    93.0031071714213, 92.8826659008067, 92.3232502498617, 87.8963612791119, 80.1499655991135, 57.3609105975747, 43.9861495073593,</v>
      </c>
      <c r="M28" s="29" t="s">
        <v>17</v>
      </c>
      <c r="N28" s="20" t="s">
        <v>8</v>
      </c>
      <c r="O28" s="48">
        <v>3.8815673789284708</v>
      </c>
      <c r="P28" s="49">
        <v>4.3723258101522813</v>
      </c>
      <c r="Q28" s="49">
        <v>4.2934275551121281</v>
      </c>
      <c r="R28" s="49">
        <v>5.2017150988587044</v>
      </c>
      <c r="S28" s="49">
        <v>7.2625504458350916</v>
      </c>
      <c r="T28" s="49">
        <v>11.40658683680142</v>
      </c>
      <c r="U28" s="50">
        <v>9.5393474867950871</v>
      </c>
      <c r="V28" s="74" t="str">
        <f t="shared" si="3"/>
        <v xml:space="preserve">    3.88156737892847, 4.37232581015228, 4.29342755511213, 5.2017150988587, 7.26255044583509, 11.4065868368014, 9.53934748679509,</v>
      </c>
    </row>
    <row r="29" spans="1:22" ht="15.75" thickBot="1" x14ac:dyDescent="0.25">
      <c r="A29" s="83" t="s">
        <v>22</v>
      </c>
      <c r="B29" s="84"/>
      <c r="C29" s="86"/>
      <c r="D29" s="86"/>
      <c r="E29" s="86"/>
      <c r="F29" s="86"/>
      <c r="G29" s="86"/>
      <c r="H29" s="86"/>
      <c r="I29" s="87"/>
      <c r="J29" s="24"/>
      <c r="K29" s="24"/>
      <c r="L29" s="74"/>
      <c r="M29" s="83" t="s">
        <v>22</v>
      </c>
      <c r="N29" s="84"/>
      <c r="O29" s="86"/>
      <c r="P29" s="86"/>
      <c r="Q29" s="86"/>
      <c r="R29" s="86"/>
      <c r="S29" s="86"/>
      <c r="T29" s="86"/>
      <c r="U29" s="87"/>
      <c r="V29" s="74"/>
    </row>
    <row r="30" spans="1:22" ht="14.25" customHeight="1" thickBot="1" x14ac:dyDescent="0.25">
      <c r="A30" s="83" t="s">
        <v>9</v>
      </c>
      <c r="B30" s="85"/>
      <c r="C30" s="61">
        <v>93.403798109785029</v>
      </c>
      <c r="D30" s="62">
        <v>91.51700700493744</v>
      </c>
      <c r="E30" s="62">
        <v>89.749880462689262</v>
      </c>
      <c r="F30" s="62">
        <v>83.99730958119234</v>
      </c>
      <c r="G30" s="62">
        <v>74.394962965986878</v>
      </c>
      <c r="H30" s="62">
        <v>58.095582470498513</v>
      </c>
      <c r="I30" s="63">
        <v>44.434812706207254</v>
      </c>
      <c r="J30" s="24"/>
      <c r="K30" s="24"/>
      <c r="L30" s="74" t="str">
        <f t="shared" ref="L30:L33" si="5">"    "&amp;_xlfn.TEXTJOIN(", ",TRUE,C30:I30)&amp;","</f>
        <v xml:space="preserve">    93.403798109785, 91.5170070049374, 89.7498804626893, 83.9973095811923, 74.3949629659869, 58.0955824704985, 44.4348127062073,</v>
      </c>
      <c r="M30" s="83" t="s">
        <v>9</v>
      </c>
      <c r="N30" s="85"/>
      <c r="O30" s="61">
        <v>3.9553866501853321</v>
      </c>
      <c r="P30" s="62">
        <v>4.517630835861226</v>
      </c>
      <c r="Q30" s="62">
        <v>5.2125425794506972</v>
      </c>
      <c r="R30" s="62">
        <v>5.6477461387684551</v>
      </c>
      <c r="S30" s="62">
        <v>8.6090564713117175</v>
      </c>
      <c r="T30" s="62">
        <v>11.357157347254571</v>
      </c>
      <c r="U30" s="63">
        <v>9.3757621724255777</v>
      </c>
      <c r="V30" s="74" t="str">
        <f t="shared" ref="V30:V33" si="6">"    "&amp;_xlfn.TEXTJOIN(", ",TRUE,O30:U30)&amp;","</f>
        <v xml:space="preserve">    3.95538665018533, 4.51763083586123, 5.2125425794507, 5.64774613876846, 8.60905647131172, 11.3571573472546, 9.37576217242558,</v>
      </c>
    </row>
    <row r="31" spans="1:22" ht="15.75" thickBot="1" x14ac:dyDescent="0.25">
      <c r="A31" s="83" t="s">
        <v>10</v>
      </c>
      <c r="B31" s="85"/>
      <c r="C31" s="64">
        <v>92.778947400409621</v>
      </c>
      <c r="D31" s="65">
        <v>91.450368996373655</v>
      </c>
      <c r="E31" s="65">
        <v>89.879480954542075</v>
      </c>
      <c r="F31" s="65">
        <v>84.748756470336986</v>
      </c>
      <c r="G31" s="65">
        <v>75.627608782580538</v>
      </c>
      <c r="H31" s="65">
        <v>58.300265665116903</v>
      </c>
      <c r="I31" s="66">
        <v>48.584106437626268</v>
      </c>
      <c r="J31" s="24"/>
      <c r="K31" s="24"/>
      <c r="L31" s="74" t="str">
        <f t="shared" si="5"/>
        <v xml:space="preserve">    92.7789474004096, 91.4503689963737, 89.8794809545421, 84.748756470337, 75.6276087825805, 58.3002656651169, 48.5841064376263,</v>
      </c>
      <c r="M31" s="83" t="s">
        <v>10</v>
      </c>
      <c r="N31" s="85"/>
      <c r="O31" s="64">
        <v>4.3743918396131134</v>
      </c>
      <c r="P31" s="65">
        <v>5.1779143655465321</v>
      </c>
      <c r="Q31" s="65">
        <v>4.8362705721377752</v>
      </c>
      <c r="R31" s="65">
        <v>5.6797782301447892</v>
      </c>
      <c r="S31" s="65">
        <v>9.0190902977959446</v>
      </c>
      <c r="T31" s="65">
        <v>11.000258135261941</v>
      </c>
      <c r="U31" s="66">
        <v>9.2918474149187738</v>
      </c>
      <c r="V31" s="74" t="str">
        <f t="shared" si="6"/>
        <v xml:space="preserve">    4.37439183961311, 5.17791436554653, 4.83627057213778, 5.67977823014479, 9.01909029779594, 11.0002581352619, 9.29184741491877,</v>
      </c>
    </row>
    <row r="32" spans="1:22" ht="14.25" customHeight="1" thickBot="1" x14ac:dyDescent="0.25">
      <c r="A32" s="83" t="s">
        <v>18</v>
      </c>
      <c r="B32" s="85"/>
      <c r="C32" s="64">
        <v>92.492055194421354</v>
      </c>
      <c r="D32" s="65">
        <v>91.055738083245984</v>
      </c>
      <c r="E32" s="65">
        <v>89.241264887762341</v>
      </c>
      <c r="F32" s="65">
        <v>82.713601809643421</v>
      </c>
      <c r="G32" s="65">
        <v>73.133677048774885</v>
      </c>
      <c r="H32" s="65">
        <v>56.229205901331248</v>
      </c>
      <c r="I32" s="66">
        <v>43.695396708102962</v>
      </c>
      <c r="J32" s="24"/>
      <c r="K32" s="24"/>
      <c r="L32" s="74" t="str">
        <f t="shared" si="5"/>
        <v xml:space="preserve">    92.4920551944214, 91.055738083246, 89.2412648877623, 82.7136018096434, 73.1336770487749, 56.2292059013312, 43.695396708103,</v>
      </c>
      <c r="M32" s="83" t="s">
        <v>18</v>
      </c>
      <c r="N32" s="85"/>
      <c r="O32" s="64">
        <v>4.0986250609792014</v>
      </c>
      <c r="P32" s="65">
        <v>4.5926443490712341</v>
      </c>
      <c r="Q32" s="65">
        <v>4.8521598807380544</v>
      </c>
      <c r="R32" s="65">
        <v>5.8188919126166327</v>
      </c>
      <c r="S32" s="65">
        <v>9.5088987825376563</v>
      </c>
      <c r="T32" s="65">
        <v>11.32839542788332</v>
      </c>
      <c r="U32" s="66">
        <v>10.62887090695313</v>
      </c>
      <c r="V32" s="74" t="str">
        <f t="shared" si="6"/>
        <v xml:space="preserve">    4.0986250609792, 4.59264434907123, 4.85215988073805, 5.81889191261663, 9.50889878253766, 11.3283954278833, 10.6288709069531,</v>
      </c>
    </row>
    <row r="33" spans="1:22" ht="15.75" thickBot="1" x14ac:dyDescent="0.25">
      <c r="A33" s="83" t="s">
        <v>19</v>
      </c>
      <c r="B33" s="85"/>
      <c r="C33" s="67">
        <v>92.657174075741665</v>
      </c>
      <c r="D33" s="68">
        <v>91.208050814372243</v>
      </c>
      <c r="E33" s="68">
        <v>89.170455678091372</v>
      </c>
      <c r="F33" s="68">
        <v>84.474616062770011</v>
      </c>
      <c r="G33" s="68">
        <v>75.066668593640316</v>
      </c>
      <c r="H33" s="68">
        <v>58.520340993368222</v>
      </c>
      <c r="I33" s="69">
        <v>44.786141592049418</v>
      </c>
      <c r="J33" s="24"/>
      <c r="K33" s="24"/>
      <c r="L33" s="74" t="str">
        <f t="shared" si="5"/>
        <v xml:space="preserve">    92.6571740757417, 91.2080508143722, 89.1704556780914, 84.47461606277, 75.0666685936403, 58.5203409933682, 44.7861415920494,</v>
      </c>
      <c r="M33" s="83" t="s">
        <v>19</v>
      </c>
      <c r="N33" s="85"/>
      <c r="O33" s="67">
        <v>4.2589004392769629</v>
      </c>
      <c r="P33" s="68">
        <v>4.8517186601265534</v>
      </c>
      <c r="Q33" s="68">
        <v>5.6717673083496472</v>
      </c>
      <c r="R33" s="68">
        <v>5.3079507961921779</v>
      </c>
      <c r="S33" s="68">
        <v>7.7884705615072454</v>
      </c>
      <c r="T33" s="68">
        <v>10.595563377926201</v>
      </c>
      <c r="U33" s="69">
        <v>10.945843294214329</v>
      </c>
      <c r="V33" s="74" t="str">
        <f t="shared" si="6"/>
        <v xml:space="preserve">    4.25890043927696, 4.85171866012655, 5.67176730834965, 5.30795079619218, 7.78847056150725, 10.5955633779262, 10.9458432942143,</v>
      </c>
    </row>
    <row r="35" spans="1:22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5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5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A33:B33"/>
    <mergeCell ref="M33:N33"/>
    <mergeCell ref="A29:I29"/>
    <mergeCell ref="M29:U29"/>
    <mergeCell ref="A30:B30"/>
    <mergeCell ref="M30:N30"/>
    <mergeCell ref="A31:B31"/>
    <mergeCell ref="M31:N31"/>
    <mergeCell ref="A22:B22"/>
    <mergeCell ref="M22:N22"/>
    <mergeCell ref="A23:I23"/>
    <mergeCell ref="M23:U23"/>
    <mergeCell ref="A32:B32"/>
    <mergeCell ref="M32:N32"/>
    <mergeCell ref="A19:I19"/>
    <mergeCell ref="M19:U19"/>
    <mergeCell ref="A20:B20"/>
    <mergeCell ref="M20:N20"/>
    <mergeCell ref="A21:B21"/>
    <mergeCell ref="M21:N21"/>
    <mergeCell ref="A14:B14"/>
    <mergeCell ref="M14:N14"/>
    <mergeCell ref="A15:B15"/>
    <mergeCell ref="M15:N15"/>
    <mergeCell ref="A16:B16"/>
    <mergeCell ref="M16:N16"/>
    <mergeCell ref="A6:I6"/>
    <mergeCell ref="M6:U6"/>
    <mergeCell ref="A12:I12"/>
    <mergeCell ref="M12:U12"/>
    <mergeCell ref="A13:B13"/>
    <mergeCell ref="M13:N13"/>
    <mergeCell ref="A2:I2"/>
    <mergeCell ref="M2:U2"/>
    <mergeCell ref="A3:B3"/>
    <mergeCell ref="M3:N3"/>
    <mergeCell ref="A5:B5"/>
    <mergeCell ref="M5:N5"/>
    <mergeCell ref="A4:B4"/>
    <mergeCell ref="M4:N4"/>
  </mergeCells>
  <phoneticPr fontId="1" type="noConversion"/>
  <conditionalFormatting sqref="C3:I3 C5:I5">
    <cfRule type="colorScale" priority="1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C7:I11 C5:I5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3 C5:I5"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K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1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J11 J3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3 J5:K11">
    <cfRule type="colorScale" priority="2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:K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5:K5">
    <cfRule type="colorScale" priority="24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11 C3:K3 C5:K5">
    <cfRule type="colorScale" priority="2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1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11 K3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6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K16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K16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2:K16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2:K16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:K29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9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5"/>
  <sheetViews>
    <sheetView tabSelected="1"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77" t="s">
        <v>20</v>
      </c>
      <c r="B2" s="78"/>
      <c r="C2" s="78"/>
      <c r="D2" s="78"/>
      <c r="E2" s="78"/>
      <c r="F2" s="78"/>
      <c r="G2" s="78"/>
      <c r="H2" s="78"/>
      <c r="I2" s="79"/>
      <c r="J2" s="13"/>
      <c r="K2" s="13"/>
      <c r="L2" s="72"/>
      <c r="M2" s="77" t="s">
        <v>20</v>
      </c>
      <c r="N2" s="78"/>
      <c r="O2" s="78"/>
      <c r="P2" s="78"/>
      <c r="Q2" s="78"/>
      <c r="R2" s="78"/>
      <c r="S2" s="78"/>
      <c r="T2" s="78"/>
      <c r="U2" s="79"/>
      <c r="V2" s="72"/>
    </row>
    <row r="3" spans="1:22" ht="15.75" thickBot="1" x14ac:dyDescent="0.25">
      <c r="A3" s="77" t="s">
        <v>6</v>
      </c>
      <c r="B3" s="79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77" t="s">
        <v>6</v>
      </c>
      <c r="N3" s="79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7" t="s">
        <v>7</v>
      </c>
      <c r="B4" s="79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72" t="str">
        <f>"    "&amp;_xlfn.TEXTJOIN(", ",TRUE,C4:I4)&amp;","</f>
        <v xml:space="preserve">    93.2733587660793, 91.6155877934354, 90.6205330495939, 86.5975138193237, 78.2243502683126, 60.8549929786013, 48.7439337710534,</v>
      </c>
      <c r="M4" s="77" t="s">
        <v>7</v>
      </c>
      <c r="N4" s="79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72" t="str">
        <f t="shared" ref="V4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7" t="s">
        <v>12</v>
      </c>
      <c r="B5" s="79"/>
      <c r="C5" s="22">
        <v>87.593900000000005</v>
      </c>
      <c r="D5" s="33">
        <v>87.663716814159287</v>
      </c>
      <c r="E5" s="33">
        <v>88.112094395280209</v>
      </c>
      <c r="F5" s="33">
        <v>87.970025692263789</v>
      </c>
      <c r="G5" s="33">
        <v>87.461708146264243</v>
      </c>
      <c r="H5" s="33">
        <v>75.251363189416281</v>
      </c>
      <c r="I5" s="34">
        <v>47.720683858280204</v>
      </c>
      <c r="J5" s="18" cm="1">
        <f t="array" ref="J5">-SUMPRODUCT((D1:H1-C1:G1)*(C5:G5+D5:H5)/2)</f>
        <v>78.394630770414679</v>
      </c>
      <c r="K5" s="18" cm="1">
        <f t="array" ref="K5">-SUMPRODUCT((D1:I1-C1:H1)*(C5:H5+D5:I5)/2)</f>
        <v>81.468931946607086</v>
      </c>
      <c r="L5" s="72" t="str">
        <f>"    "&amp;_xlfn.TEXTJOIN(", ",TRUE,C5:I5)&amp;","</f>
        <v xml:space="preserve">    87.5939, 87.6637168141593, 88.1120943952802, 87.9700256922638, 87.4617081462642, 75.2513631894163, 47.7206838582802,</v>
      </c>
      <c r="M5" s="77" t="s">
        <v>12</v>
      </c>
      <c r="N5" s="79"/>
      <c r="O5" s="51">
        <v>2.4529187882918819</v>
      </c>
      <c r="P5" s="33">
        <v>2.16276566139488</v>
      </c>
      <c r="Q5" s="33">
        <v>2.2973398804747198</v>
      </c>
      <c r="R5" s="33">
        <v>2.134165319654592</v>
      </c>
      <c r="S5" s="33">
        <v>2.3834878752826651</v>
      </c>
      <c r="T5" s="33">
        <v>3.787986046410059</v>
      </c>
      <c r="U5" s="34">
        <v>3.7419646549723868</v>
      </c>
      <c r="V5" s="72" t="str">
        <f t="shared" ref="V5:V11" si="1">"    "&amp;_xlfn.TEXTJOIN(", ",TRUE,O5:U5)&amp;","</f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77" t="s">
        <v>21</v>
      </c>
      <c r="B6" s="78"/>
      <c r="C6" s="78"/>
      <c r="D6" s="78"/>
      <c r="E6" s="78"/>
      <c r="F6" s="78"/>
      <c r="G6" s="78"/>
      <c r="H6" s="78"/>
      <c r="I6" s="79"/>
      <c r="J6" s="18"/>
      <c r="K6" s="18"/>
      <c r="L6" s="72"/>
      <c r="M6" s="77" t="s">
        <v>21</v>
      </c>
      <c r="N6" s="78"/>
      <c r="O6" s="78"/>
      <c r="P6" s="78"/>
      <c r="Q6" s="78"/>
      <c r="R6" s="78"/>
      <c r="S6" s="78"/>
      <c r="T6" s="78"/>
      <c r="U6" s="79"/>
      <c r="V6" s="72"/>
    </row>
    <row r="7" spans="1:22" ht="15.75" customHeight="1" thickBot="1" x14ac:dyDescent="0.25">
      <c r="A7" s="21" t="s">
        <v>13</v>
      </c>
      <c r="B7" s="19" t="s">
        <v>8</v>
      </c>
      <c r="C7" s="35"/>
      <c r="D7" s="36"/>
      <c r="E7" s="36"/>
      <c r="F7" s="36"/>
      <c r="G7" s="36"/>
      <c r="H7" s="36"/>
      <c r="I7" s="37"/>
      <c r="J7" s="18" cm="1">
        <f t="array" ref="J7">-SUMPRODUCT((D1:H1-C1:G1)*(C7:G7+D7:H7)/2)</f>
        <v>0</v>
      </c>
      <c r="K7" s="18" cm="1">
        <f t="array" ref="K7">-SUMPRODUCT((D1:I1-C1:H1)*(C7:H7+D7:I7)/2)</f>
        <v>0</v>
      </c>
      <c r="L7" s="72" t="str">
        <f>"    "&amp;_xlfn.TEXTJOIN(", ",TRUE,C7:I7)&amp;","</f>
        <v xml:space="preserve">    ,</v>
      </c>
      <c r="M7" s="21" t="s">
        <v>13</v>
      </c>
      <c r="N7" s="19" t="s">
        <v>8</v>
      </c>
      <c r="O7" s="35"/>
      <c r="P7" s="36"/>
      <c r="Q7" s="36"/>
      <c r="R7" s="36"/>
      <c r="S7" s="36"/>
      <c r="T7" s="36"/>
      <c r="U7" s="37"/>
      <c r="V7" s="72" t="str">
        <f t="shared" si="1"/>
        <v xml:space="preserve">    ,</v>
      </c>
    </row>
    <row r="8" spans="1:22" ht="15.75" customHeight="1" thickBot="1" x14ac:dyDescent="0.25">
      <c r="A8" s="21" t="s">
        <v>14</v>
      </c>
      <c r="B8" s="19" t="s">
        <v>8</v>
      </c>
      <c r="C8" s="38"/>
      <c r="D8" s="70"/>
      <c r="E8" s="70"/>
      <c r="F8" s="70"/>
      <c r="G8" s="70"/>
      <c r="H8" s="70"/>
      <c r="I8" s="39"/>
      <c r="J8" s="18" cm="1">
        <f t="array" ref="J8">-SUMPRODUCT((D1:H1-C1:G1)*(C8:G8+D8:H8)/2)</f>
        <v>0</v>
      </c>
      <c r="K8" s="18" cm="1">
        <f t="array" ref="K8">-SUMPRODUCT((D1:I1-C1:H1)*(C8:H8+D8:I8)/2)</f>
        <v>0</v>
      </c>
      <c r="L8" s="72" t="str">
        <f>"    "&amp;_xlfn.TEXTJOIN(", ",TRUE,C8:I8)&amp;","</f>
        <v xml:space="preserve">    ,</v>
      </c>
      <c r="M8" s="21" t="s">
        <v>14</v>
      </c>
      <c r="N8" s="19" t="s">
        <v>8</v>
      </c>
      <c r="O8" s="38"/>
      <c r="P8" s="70"/>
      <c r="Q8" s="70"/>
      <c r="R8" s="70"/>
      <c r="S8" s="70"/>
      <c r="T8" s="70"/>
      <c r="U8" s="39"/>
      <c r="V8" s="72" t="str">
        <f t="shared" si="1"/>
        <v xml:space="preserve">    ,</v>
      </c>
    </row>
    <row r="9" spans="1:22" ht="15.75" customHeight="1" thickBot="1" x14ac:dyDescent="0.25">
      <c r="A9" s="21" t="s">
        <v>15</v>
      </c>
      <c r="B9" s="19" t="s">
        <v>8</v>
      </c>
      <c r="C9" s="38"/>
      <c r="D9" s="70"/>
      <c r="E9" s="70"/>
      <c r="F9" s="70"/>
      <c r="G9" s="70"/>
      <c r="H9" s="70"/>
      <c r="I9" s="39"/>
      <c r="J9" s="18" cm="1">
        <f t="array" ref="J9">-SUMPRODUCT((D1:H1-C1:G1)*(C9:G9+D9:H9)/2)</f>
        <v>0</v>
      </c>
      <c r="K9" s="18" cm="1">
        <f t="array" ref="K9">-SUMPRODUCT((D1:I1-C1:H1)*(C9:H9+D9:I9)/2)</f>
        <v>0</v>
      </c>
      <c r="L9" s="72" t="str">
        <f>"    "&amp;_xlfn.TEXTJOIN(", ",TRUE,C9:I9)&amp;","</f>
        <v xml:space="preserve">    ,</v>
      </c>
      <c r="M9" s="21" t="s">
        <v>15</v>
      </c>
      <c r="N9" s="19" t="s">
        <v>8</v>
      </c>
      <c r="O9" s="38"/>
      <c r="P9" s="70"/>
      <c r="Q9" s="70"/>
      <c r="R9" s="70"/>
      <c r="S9" s="70"/>
      <c r="T9" s="70"/>
      <c r="U9" s="39"/>
      <c r="V9" s="72" t="str">
        <f t="shared" si="1"/>
        <v xml:space="preserve">    ,</v>
      </c>
    </row>
    <row r="10" spans="1:22" ht="15.75" customHeight="1" thickBot="1" x14ac:dyDescent="0.25">
      <c r="A10" s="21" t="s">
        <v>16</v>
      </c>
      <c r="B10" s="19" t="s">
        <v>8</v>
      </c>
      <c r="C10" s="38"/>
      <c r="D10" s="70"/>
      <c r="E10" s="70"/>
      <c r="F10" s="70"/>
      <c r="G10" s="70"/>
      <c r="H10" s="70"/>
      <c r="I10" s="39"/>
      <c r="J10" s="18" cm="1">
        <f t="array" ref="J10">-SUMPRODUCT((D1:H1-C1:G1)*(C10:G10+D10:H10)/2)</f>
        <v>0</v>
      </c>
      <c r="K10" s="18" cm="1">
        <f t="array" ref="K10">-SUMPRODUCT((D1:I1-C1:H1)*(C10:H10+D10:I10)/2)</f>
        <v>0</v>
      </c>
      <c r="L10" s="72" t="str">
        <f>"    "&amp;_xlfn.TEXTJOIN(", ",TRUE,C10:I10)&amp;","</f>
        <v xml:space="preserve">    ,</v>
      </c>
      <c r="M10" s="21" t="s">
        <v>16</v>
      </c>
      <c r="N10" s="19" t="s">
        <v>8</v>
      </c>
      <c r="O10" s="38"/>
      <c r="P10" s="70"/>
      <c r="Q10" s="70"/>
      <c r="R10" s="70"/>
      <c r="S10" s="70"/>
      <c r="T10" s="70"/>
      <c r="U10" s="39"/>
      <c r="V10" s="72" t="str">
        <f t="shared" si="1"/>
        <v xml:space="preserve">    ,</v>
      </c>
    </row>
    <row r="11" spans="1:22" ht="15.75" customHeight="1" thickBot="1" x14ac:dyDescent="0.25">
      <c r="A11" s="4" t="s">
        <v>17</v>
      </c>
      <c r="B11" s="19" t="s">
        <v>8</v>
      </c>
      <c r="C11" s="40"/>
      <c r="D11" s="41"/>
      <c r="E11" s="41"/>
      <c r="F11" s="41"/>
      <c r="G11" s="41"/>
      <c r="H11" s="41"/>
      <c r="I11" s="42"/>
      <c r="J11" s="18" cm="1">
        <f t="array" ref="J11">-SUMPRODUCT((D1:H1-C1:G1)*(C11:G11+D11:H11)/2)</f>
        <v>0</v>
      </c>
      <c r="K11" s="18" cm="1">
        <f t="array" ref="K11">-SUMPRODUCT((D1:I1-C1:H1)*(C11:H11+D11:I11)/2)</f>
        <v>0</v>
      </c>
      <c r="L11" s="72" t="str">
        <f>"    "&amp;_xlfn.TEXTJOIN(", ",TRUE,C11:I11)&amp;","</f>
        <v xml:space="preserve">    ,</v>
      </c>
      <c r="M11" s="4" t="s">
        <v>17</v>
      </c>
      <c r="N11" s="19" t="s">
        <v>8</v>
      </c>
      <c r="O11" s="40"/>
      <c r="P11" s="41"/>
      <c r="Q11" s="41"/>
      <c r="R11" s="41"/>
      <c r="S11" s="41"/>
      <c r="T11" s="41"/>
      <c r="U11" s="42"/>
      <c r="V11" s="72" t="str">
        <f t="shared" si="1"/>
        <v xml:space="preserve">    ,</v>
      </c>
    </row>
    <row r="12" spans="1:22" ht="15.75" customHeight="1" thickBot="1" x14ac:dyDescent="0.25">
      <c r="A12" s="77" t="s">
        <v>22</v>
      </c>
      <c r="B12" s="78"/>
      <c r="C12" s="80"/>
      <c r="D12" s="80"/>
      <c r="E12" s="80"/>
      <c r="F12" s="80"/>
      <c r="G12" s="80"/>
      <c r="H12" s="80"/>
      <c r="I12" s="81"/>
      <c r="J12" s="18"/>
      <c r="K12" s="18"/>
      <c r="L12" s="72"/>
      <c r="M12" s="77" t="s">
        <v>22</v>
      </c>
      <c r="N12" s="78"/>
      <c r="O12" s="80"/>
      <c r="P12" s="80"/>
      <c r="Q12" s="80"/>
      <c r="R12" s="80"/>
      <c r="S12" s="80"/>
      <c r="T12" s="80"/>
      <c r="U12" s="81"/>
      <c r="V12" s="72"/>
    </row>
    <row r="13" spans="1:22" ht="15.75" customHeight="1" thickBot="1" x14ac:dyDescent="0.25">
      <c r="A13" s="77" t="s">
        <v>9</v>
      </c>
      <c r="B13" s="79"/>
      <c r="C13" s="52">
        <v>93.782740335124032</v>
      </c>
      <c r="D13" s="53">
        <v>91.948208894540599</v>
      </c>
      <c r="E13" s="53">
        <v>90.212980504444957</v>
      </c>
      <c r="F13" s="53">
        <v>84.630388959535409</v>
      </c>
      <c r="G13" s="53">
        <v>75.371093175546491</v>
      </c>
      <c r="H13" s="53">
        <v>59.627211308056303</v>
      </c>
      <c r="I13" s="54">
        <v>47.844185503334799</v>
      </c>
      <c r="J13" s="18" cm="1">
        <f t="array" ref="J13">-SUMPRODUCT((D1:H1-C1:G1)*(C13:G13+D13:H13)/2)</f>
        <v>78.220843605913544</v>
      </c>
      <c r="K13" s="18" cm="1">
        <f t="array" ref="K13">-SUMPRODUCT((D1:I1-C1:H1)*(C13:H13+D13:I13)/2)</f>
        <v>80.907628526198323</v>
      </c>
      <c r="L13" s="72" t="str">
        <f>"    "&amp;_xlfn.TEXTJOIN(", ",TRUE,C13:I13)&amp;","</f>
        <v xml:space="preserve">    93.782740335124, 91.9482088945406, 90.212980504445, 84.6303889595354, 75.3710931755465, 59.6272113080563, 47.8441855033348,</v>
      </c>
      <c r="M13" s="77" t="s">
        <v>9</v>
      </c>
      <c r="N13" s="79"/>
      <c r="O13" s="52">
        <v>3.5391983918820551</v>
      </c>
      <c r="P13" s="53">
        <v>4.1060038651541966</v>
      </c>
      <c r="Q13" s="53">
        <v>4.774795806468676</v>
      </c>
      <c r="R13" s="53">
        <v>5.3483339064680431</v>
      </c>
      <c r="S13" s="53">
        <v>8.0994903921197494</v>
      </c>
      <c r="T13" s="53">
        <v>10.59987402205407</v>
      </c>
      <c r="U13" s="54">
        <v>8.7604668874903737</v>
      </c>
      <c r="V13" s="72" t="str">
        <f t="shared" ref="V13:V16" si="2">"    "&amp;_xlfn.TEXTJOIN(", ",TRUE,O13:U13)&amp;","</f>
        <v xml:space="preserve">    3.53919839188206, 4.1060038651542, 4.77479580646868, 5.34833390646804, 8.09949039211975, 10.5998740220541, 8.76046688749037,</v>
      </c>
    </row>
    <row r="14" spans="1:22" ht="15.75" customHeight="1" thickBot="1" x14ac:dyDescent="0.25">
      <c r="A14" s="82" t="s">
        <v>10</v>
      </c>
      <c r="B14" s="81"/>
      <c r="C14" s="55">
        <v>93.226230330712227</v>
      </c>
      <c r="D14" s="56">
        <v>91.83329152212967</v>
      </c>
      <c r="E14" s="56">
        <v>90.325291164571794</v>
      </c>
      <c r="F14" s="56">
        <v>85.383492360083878</v>
      </c>
      <c r="G14" s="56">
        <v>76.567000291236639</v>
      </c>
      <c r="H14" s="56">
        <v>59.41454222499042</v>
      </c>
      <c r="I14" s="57">
        <v>50.563407411252108</v>
      </c>
      <c r="J14" s="18" cm="1">
        <f t="array" ref="J14">-SUMPRODUCT((D1:H1-C1:G1)*(C14:G14+D14:H14)/2)</f>
        <v>78.369743178285859</v>
      </c>
      <c r="K14" s="18" cm="1">
        <f t="array" ref="K14">-SUMPRODUCT((D1:I1-C1:H1)*(C14:H14+D14:I14)/2)</f>
        <v>81.11919191919192</v>
      </c>
      <c r="L14" s="72" t="str">
        <f>"    "&amp;_xlfn.TEXTJOIN(", ",TRUE,C14:I14)&amp;","</f>
        <v xml:space="preserve">    93.2262303307122, 91.8332915221297, 90.3252911645718, 85.3834923600839, 76.5670002912366, 59.4145422249904, 50.5634074112521,</v>
      </c>
      <c r="M14" s="77" t="s">
        <v>10</v>
      </c>
      <c r="N14" s="79"/>
      <c r="O14" s="55">
        <v>3.945711842949601</v>
      </c>
      <c r="P14" s="56">
        <v>4.8525950161134093</v>
      </c>
      <c r="Q14" s="56">
        <v>4.4346894499148144</v>
      </c>
      <c r="R14" s="56">
        <v>5.4810029574676529</v>
      </c>
      <c r="S14" s="56">
        <v>8.4636725644600066</v>
      </c>
      <c r="T14" s="56">
        <v>10.788297692871961</v>
      </c>
      <c r="U14" s="57">
        <v>8.7433484877826491</v>
      </c>
      <c r="V14" s="72" t="str">
        <f t="shared" si="2"/>
        <v xml:space="preserve">    3.9457118429496, 4.85259501611341, 4.43468944991481, 5.48100295746765, 8.46367256446001, 10.788297692872, 8.74334848778265,</v>
      </c>
    </row>
    <row r="15" spans="1:22" ht="15.75" customHeight="1" thickBot="1" x14ac:dyDescent="0.25">
      <c r="A15" s="77" t="s">
        <v>18</v>
      </c>
      <c r="B15" s="79"/>
      <c r="C15" s="55">
        <v>93.004922187908207</v>
      </c>
      <c r="D15" s="56">
        <v>91.518502178507859</v>
      </c>
      <c r="E15" s="56">
        <v>89.729420958082102</v>
      </c>
      <c r="F15" s="56">
        <v>83.348607398564567</v>
      </c>
      <c r="G15" s="56">
        <v>74.087719905304837</v>
      </c>
      <c r="H15" s="56">
        <v>57.917332041511322</v>
      </c>
      <c r="I15" s="57">
        <v>48.007794185070807</v>
      </c>
      <c r="J15" s="18" cm="1">
        <f t="array" ref="J15">-SUMPRODUCT((D1:H1-C1:G1)*(C15:G15+D15:H15)/2)</f>
        <v>77.501290236074709</v>
      </c>
      <c r="K15" s="18" cm="1">
        <f t="array" ref="K15">-SUMPRODUCT((D1:I1-C1:H1)*(C15:H15+D15:I15)/2)</f>
        <v>80.14941839173926</v>
      </c>
      <c r="L15" s="72" t="str">
        <f>"    "&amp;_xlfn.TEXTJOIN(", ",TRUE,C15:I15)&amp;","</f>
        <v xml:space="preserve">    93.0049221879082, 91.5185021785079, 89.7294209580821, 83.3486073985646, 74.0877199053048, 57.9173320415113, 48.0077941850708,</v>
      </c>
      <c r="M15" s="77" t="s">
        <v>18</v>
      </c>
      <c r="N15" s="79"/>
      <c r="O15" s="55">
        <v>3.690401528555848</v>
      </c>
      <c r="P15" s="56">
        <v>4.2469367469027457</v>
      </c>
      <c r="Q15" s="56">
        <v>4.4611096369834957</v>
      </c>
      <c r="R15" s="56">
        <v>5.4089286426803449</v>
      </c>
      <c r="S15" s="56">
        <v>9.092124974067179</v>
      </c>
      <c r="T15" s="56">
        <v>10.83557708581068</v>
      </c>
      <c r="U15" s="57">
        <v>9.2904800440053528</v>
      </c>
      <c r="V15" s="72" t="str">
        <f t="shared" si="2"/>
        <v xml:space="preserve">    3.69040152855585, 4.24693674690275, 4.4611096369835, 5.40892864268034, 9.09212497406718, 10.8355770858107, 9.29048004400535,</v>
      </c>
    </row>
    <row r="16" spans="1:22" ht="15.75" customHeight="1" thickBot="1" x14ac:dyDescent="0.25">
      <c r="A16" s="77" t="s">
        <v>19</v>
      </c>
      <c r="B16" s="79"/>
      <c r="C16" s="58">
        <v>93.123279613145442</v>
      </c>
      <c r="D16" s="59">
        <v>91.674385879923975</v>
      </c>
      <c r="E16" s="59">
        <v>89.698688281617194</v>
      </c>
      <c r="F16" s="59">
        <v>84.957067102656595</v>
      </c>
      <c r="G16" s="59">
        <v>75.939082518014857</v>
      </c>
      <c r="H16" s="59">
        <v>59.995092229748238</v>
      </c>
      <c r="I16" s="60">
        <v>48.440303693515233</v>
      </c>
      <c r="J16" s="18" cm="1">
        <f t="array" ref="J16">-SUMPRODUCT((D1:H1-C1:G1)*(C16:G16+D16:H16)/2)</f>
        <v>78.078434213675436</v>
      </c>
      <c r="K16" s="18" cm="1">
        <f t="array" ref="K16">-SUMPRODUCT((D1:I1-C1:H1)*(C16:H16+D16:I16)/2)</f>
        <v>80.789319111757024</v>
      </c>
      <c r="L16" s="72" t="str">
        <f>"    "&amp;_xlfn.TEXTJOIN(", ",TRUE,C16:I16)&amp;","</f>
        <v xml:space="preserve">    93.1232796131454, 91.674385879924, 89.6986882816172, 84.9570671026566, 75.9390825180149, 59.9950922297482, 48.4403036935152,</v>
      </c>
      <c r="M16" s="77" t="s">
        <v>19</v>
      </c>
      <c r="N16" s="79"/>
      <c r="O16" s="58">
        <v>3.8088682011350912</v>
      </c>
      <c r="P16" s="59">
        <v>4.4783864386850611</v>
      </c>
      <c r="Q16" s="59">
        <v>5.0849840192173117</v>
      </c>
      <c r="R16" s="59">
        <v>5.0366327026230584</v>
      </c>
      <c r="S16" s="59">
        <v>7.6643798786674449</v>
      </c>
      <c r="T16" s="59">
        <v>10.05146904627655</v>
      </c>
      <c r="U16" s="60">
        <v>9.821397671709315</v>
      </c>
      <c r="V16" s="72" t="str">
        <f t="shared" si="2"/>
        <v xml:space="preserve">    3.80886820113509, 4.47838643868506, 5.08498401921731, 5.03663270262306, 7.66437987866744, 10.0514690462765, 9.82139767170931,</v>
      </c>
    </row>
    <row r="17" spans="1:22" ht="15" thickBo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73"/>
      <c r="M17" s="23"/>
      <c r="N17" s="23"/>
      <c r="O17" s="23"/>
      <c r="P17" s="23"/>
      <c r="Q17" s="23"/>
      <c r="R17" s="23"/>
      <c r="S17" s="23"/>
      <c r="T17" s="23"/>
      <c r="U17" s="23"/>
      <c r="V17" s="73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4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4"/>
    </row>
    <row r="19" spans="1:22" ht="15.75" thickBot="1" x14ac:dyDescent="0.25">
      <c r="A19" s="83" t="s">
        <v>20</v>
      </c>
      <c r="B19" s="84"/>
      <c r="C19" s="84"/>
      <c r="D19" s="84"/>
      <c r="E19" s="84"/>
      <c r="F19" s="84"/>
      <c r="G19" s="84"/>
      <c r="H19" s="84"/>
      <c r="I19" s="85"/>
      <c r="J19" s="14"/>
      <c r="K19" s="14"/>
      <c r="L19" s="74"/>
      <c r="M19" s="83" t="s">
        <v>20</v>
      </c>
      <c r="N19" s="84"/>
      <c r="O19" s="84"/>
      <c r="P19" s="84"/>
      <c r="Q19" s="84"/>
      <c r="R19" s="84"/>
      <c r="S19" s="84"/>
      <c r="T19" s="84"/>
      <c r="U19" s="85"/>
      <c r="V19" s="74"/>
    </row>
    <row r="20" spans="1:22" ht="15.75" thickBot="1" x14ac:dyDescent="0.25">
      <c r="A20" s="83" t="s">
        <v>6</v>
      </c>
      <c r="B20" s="85"/>
      <c r="C20" s="25">
        <v>92.567111769713335</v>
      </c>
      <c r="D20" s="25">
        <v>90.835858608343599</v>
      </c>
      <c r="E20" s="25">
        <v>89.217505339533233</v>
      </c>
      <c r="F20" s="25">
        <v>83.237245964288078</v>
      </c>
      <c r="G20" s="25">
        <v>75.380430844191011</v>
      </c>
      <c r="H20" s="25">
        <v>58.994367187597383</v>
      </c>
      <c r="I20" s="26">
        <v>43.622535641382179</v>
      </c>
      <c r="J20" s="24"/>
      <c r="K20" s="24"/>
      <c r="L20" s="74" t="str">
        <f>"    "&amp;_xlfn.TEXTJOIN(", ",TRUE,C20:I20)&amp;","</f>
        <v xml:space="preserve">    92.5671117697133, 90.8358586083436, 89.2175053395332, 83.2372459642881, 75.380430844191, 58.9943671875974, 43.6225356413822,</v>
      </c>
      <c r="M20" s="83" t="s">
        <v>2</v>
      </c>
      <c r="N20" s="85"/>
      <c r="O20" s="27">
        <v>3.88093621561358</v>
      </c>
      <c r="P20" s="25">
        <v>4.8164746829677396</v>
      </c>
      <c r="Q20" s="25">
        <v>5.2250608386616522</v>
      </c>
      <c r="R20" s="25">
        <v>5.6675721086724113</v>
      </c>
      <c r="S20" s="25">
        <v>8.3263283482936075</v>
      </c>
      <c r="T20" s="25">
        <v>10.49020927094638</v>
      </c>
      <c r="U20" s="26">
        <v>11.060437347759546</v>
      </c>
      <c r="V20" s="74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83" t="s">
        <v>7</v>
      </c>
      <c r="B21" s="85"/>
      <c r="C21" s="25">
        <v>92.866950218042462</v>
      </c>
      <c r="D21" s="25">
        <v>91.242690764745561</v>
      </c>
      <c r="E21" s="25">
        <v>90.137053227698445</v>
      </c>
      <c r="F21" s="25">
        <v>86.080152926613408</v>
      </c>
      <c r="G21" s="25">
        <v>77.410217255196784</v>
      </c>
      <c r="H21" s="25">
        <v>59.676194764980139</v>
      </c>
      <c r="I21" s="26">
        <v>46.395490419404197</v>
      </c>
      <c r="J21" s="24"/>
      <c r="K21" s="24"/>
      <c r="L21" s="74" t="str">
        <f>"    "&amp;_xlfn.TEXTJOIN(", ",TRUE,C21:I21)&amp;","</f>
        <v xml:space="preserve">    92.8669502180425, 91.2426907647456, 90.1370532276984, 86.0801529266134, 77.4102172551968, 59.6761947649801, 46.3954904194042,</v>
      </c>
      <c r="M21" s="83" t="s">
        <v>7</v>
      </c>
      <c r="N21" s="85"/>
      <c r="O21" s="25">
        <v>3.8319643020864191</v>
      </c>
      <c r="P21" s="25">
        <v>4.3603246705255447</v>
      </c>
      <c r="Q21" s="25">
        <v>4.7987735191879262</v>
      </c>
      <c r="R21" s="25">
        <v>5.1262965367330251</v>
      </c>
      <c r="S21" s="25">
        <v>7.087258799823358</v>
      </c>
      <c r="T21" s="25">
        <v>9.7457736576346736</v>
      </c>
      <c r="U21" s="26">
        <v>10.021578856839133</v>
      </c>
      <c r="V21" s="74" t="str">
        <f t="shared" ref="V21:V33" si="3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83" t="s">
        <v>12</v>
      </c>
      <c r="B22" s="85"/>
      <c r="C22" s="30">
        <v>87.268396410214976</v>
      </c>
      <c r="D22" s="31">
        <v>87.256428398686779</v>
      </c>
      <c r="E22" s="31">
        <v>87.822106304170404</v>
      </c>
      <c r="F22" s="31">
        <v>87.68072644235157</v>
      </c>
      <c r="G22" s="31">
        <v>87.144879367185226</v>
      </c>
      <c r="H22" s="31">
        <v>74.976567886515753</v>
      </c>
      <c r="I22" s="32">
        <v>46.41754739488244</v>
      </c>
      <c r="J22" s="24"/>
      <c r="K22" s="24"/>
      <c r="L22" s="74" t="str">
        <f t="shared" ref="L22:L28" si="4">"    "&amp;_xlfn.TEXTJOIN(", ",TRUE,C22:I22)&amp;","</f>
        <v xml:space="preserve">    87.268396410215, 87.2564283986868, 87.8221063041704, 87.6807264423516, 87.1448793671852, 74.9765678865158, 46.4175473948824,</v>
      </c>
      <c r="M22" s="83" t="s">
        <v>12</v>
      </c>
      <c r="N22" s="85"/>
      <c r="O22" s="30">
        <v>2.610595868561878</v>
      </c>
      <c r="P22" s="31">
        <v>2.3209805270224559</v>
      </c>
      <c r="Q22" s="31">
        <v>2.4426244152699921</v>
      </c>
      <c r="R22" s="31">
        <v>2.2821255442986761</v>
      </c>
      <c r="S22" s="31">
        <v>2.523131741400912</v>
      </c>
      <c r="T22" s="31">
        <v>3.7626100419371111</v>
      </c>
      <c r="U22" s="32">
        <v>4.1161081119796732</v>
      </c>
      <c r="V22" s="74" t="str">
        <f t="shared" si="3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83" t="s">
        <v>21</v>
      </c>
      <c r="B23" s="84"/>
      <c r="C23" s="84"/>
      <c r="D23" s="84"/>
      <c r="E23" s="84"/>
      <c r="F23" s="84"/>
      <c r="G23" s="84"/>
      <c r="H23" s="84"/>
      <c r="I23" s="85"/>
      <c r="J23" s="24"/>
      <c r="K23" s="24"/>
      <c r="L23" s="74"/>
      <c r="M23" s="83" t="s">
        <v>21</v>
      </c>
      <c r="N23" s="84"/>
      <c r="O23" s="84"/>
      <c r="P23" s="84"/>
      <c r="Q23" s="84"/>
      <c r="R23" s="84"/>
      <c r="S23" s="84"/>
      <c r="T23" s="84"/>
      <c r="U23" s="85"/>
      <c r="V23" s="74"/>
    </row>
    <row r="24" spans="1:22" ht="15.75" thickBot="1" x14ac:dyDescent="0.25">
      <c r="A24" s="28" t="s">
        <v>13</v>
      </c>
      <c r="B24" s="20" t="s">
        <v>8</v>
      </c>
      <c r="C24" s="43"/>
      <c r="D24" s="44"/>
      <c r="E24" s="44"/>
      <c r="F24" s="44"/>
      <c r="G24" s="44"/>
      <c r="H24" s="44"/>
      <c r="I24" s="45"/>
      <c r="J24" s="24"/>
      <c r="K24" s="24"/>
      <c r="L24" s="74" t="str">
        <f t="shared" si="4"/>
        <v xml:space="preserve">    ,</v>
      </c>
      <c r="M24" s="28" t="s">
        <v>13</v>
      </c>
      <c r="N24" s="20" t="s">
        <v>8</v>
      </c>
      <c r="O24" s="43"/>
      <c r="P24" s="44"/>
      <c r="Q24" s="44"/>
      <c r="R24" s="44"/>
      <c r="S24" s="44"/>
      <c r="T24" s="44"/>
      <c r="U24" s="45"/>
      <c r="V24" s="74" t="str">
        <f t="shared" si="3"/>
        <v xml:space="preserve">    ,</v>
      </c>
    </row>
    <row r="25" spans="1:22" ht="15.75" thickBot="1" x14ac:dyDescent="0.25">
      <c r="A25" s="28" t="s">
        <v>14</v>
      </c>
      <c r="B25" s="20" t="s">
        <v>8</v>
      </c>
      <c r="C25" s="46"/>
      <c r="D25" s="71"/>
      <c r="E25" s="71"/>
      <c r="F25" s="71"/>
      <c r="G25" s="71"/>
      <c r="H25" s="71"/>
      <c r="I25" s="47"/>
      <c r="J25" s="24"/>
      <c r="K25" s="24"/>
      <c r="L25" s="74" t="str">
        <f t="shared" si="4"/>
        <v xml:space="preserve">    ,</v>
      </c>
      <c r="M25" s="28" t="s">
        <v>14</v>
      </c>
      <c r="N25" s="20" t="s">
        <v>8</v>
      </c>
      <c r="O25" s="46"/>
      <c r="P25" s="71"/>
      <c r="Q25" s="71"/>
      <c r="R25" s="71"/>
      <c r="S25" s="71"/>
      <c r="T25" s="71"/>
      <c r="U25" s="47"/>
      <c r="V25" s="74" t="str">
        <f t="shared" si="3"/>
        <v xml:space="preserve">    ,</v>
      </c>
    </row>
    <row r="26" spans="1:22" ht="15.75" thickBot="1" x14ac:dyDescent="0.25">
      <c r="A26" s="28" t="s">
        <v>15</v>
      </c>
      <c r="B26" s="20" t="s">
        <v>8</v>
      </c>
      <c r="C26" s="46"/>
      <c r="D26" s="71"/>
      <c r="E26" s="71"/>
      <c r="F26" s="71"/>
      <c r="G26" s="71"/>
      <c r="H26" s="71"/>
      <c r="I26" s="47"/>
      <c r="J26" s="24"/>
      <c r="K26" s="24"/>
      <c r="L26" s="74" t="str">
        <f t="shared" si="4"/>
        <v xml:space="preserve">    ,</v>
      </c>
      <c r="M26" s="28" t="s">
        <v>15</v>
      </c>
      <c r="N26" s="20" t="s">
        <v>8</v>
      </c>
      <c r="O26" s="46"/>
      <c r="P26" s="71"/>
      <c r="Q26" s="71"/>
      <c r="R26" s="71"/>
      <c r="S26" s="71"/>
      <c r="T26" s="71"/>
      <c r="U26" s="47"/>
      <c r="V26" s="74" t="str">
        <f t="shared" si="3"/>
        <v xml:space="preserve">    ,</v>
      </c>
    </row>
    <row r="27" spans="1:22" ht="15.75" thickBot="1" x14ac:dyDescent="0.25">
      <c r="A27" s="28" t="s">
        <v>16</v>
      </c>
      <c r="B27" s="20" t="s">
        <v>8</v>
      </c>
      <c r="C27" s="46"/>
      <c r="D27" s="71"/>
      <c r="E27" s="71"/>
      <c r="F27" s="71"/>
      <c r="G27" s="71"/>
      <c r="H27" s="71"/>
      <c r="I27" s="47"/>
      <c r="J27" s="24"/>
      <c r="K27" s="24"/>
      <c r="L27" s="74" t="str">
        <f t="shared" si="4"/>
        <v xml:space="preserve">    ,</v>
      </c>
      <c r="M27" s="28" t="s">
        <v>16</v>
      </c>
      <c r="N27" s="20" t="s">
        <v>8</v>
      </c>
      <c r="O27" s="46"/>
      <c r="P27" s="71"/>
      <c r="Q27" s="71"/>
      <c r="R27" s="71"/>
      <c r="S27" s="71"/>
      <c r="T27" s="71"/>
      <c r="U27" s="47"/>
      <c r="V27" s="74" t="str">
        <f t="shared" si="3"/>
        <v xml:space="preserve">    ,</v>
      </c>
    </row>
    <row r="28" spans="1:22" ht="15.75" thickBot="1" x14ac:dyDescent="0.25">
      <c r="A28" s="29" t="s">
        <v>17</v>
      </c>
      <c r="B28" s="20" t="s">
        <v>8</v>
      </c>
      <c r="C28" s="48"/>
      <c r="D28" s="49"/>
      <c r="E28" s="49"/>
      <c r="F28" s="49"/>
      <c r="G28" s="49"/>
      <c r="H28" s="49"/>
      <c r="I28" s="50"/>
      <c r="J28" s="24"/>
      <c r="K28" s="24"/>
      <c r="L28" s="74" t="str">
        <f t="shared" si="4"/>
        <v xml:space="preserve">    ,</v>
      </c>
      <c r="M28" s="29" t="s">
        <v>17</v>
      </c>
      <c r="N28" s="20" t="s">
        <v>8</v>
      </c>
      <c r="O28" s="48"/>
      <c r="P28" s="49"/>
      <c r="Q28" s="49"/>
      <c r="R28" s="49"/>
      <c r="S28" s="49"/>
      <c r="T28" s="49"/>
      <c r="U28" s="50"/>
      <c r="V28" s="74" t="str">
        <f t="shared" si="3"/>
        <v xml:space="preserve">    ,</v>
      </c>
    </row>
    <row r="29" spans="1:22" ht="15.75" thickBot="1" x14ac:dyDescent="0.25">
      <c r="A29" s="83" t="s">
        <v>22</v>
      </c>
      <c r="B29" s="84"/>
      <c r="C29" s="86"/>
      <c r="D29" s="86"/>
      <c r="E29" s="86"/>
      <c r="F29" s="86"/>
      <c r="G29" s="86"/>
      <c r="H29" s="86"/>
      <c r="I29" s="87"/>
      <c r="J29" s="24"/>
      <c r="K29" s="24"/>
      <c r="L29" s="74"/>
      <c r="M29" s="83" t="s">
        <v>22</v>
      </c>
      <c r="N29" s="84"/>
      <c r="O29" s="86"/>
      <c r="P29" s="86"/>
      <c r="Q29" s="86"/>
      <c r="R29" s="86"/>
      <c r="S29" s="86"/>
      <c r="T29" s="86"/>
      <c r="U29" s="87"/>
      <c r="V29" s="74"/>
    </row>
    <row r="30" spans="1:22" ht="14.25" customHeight="1" thickBot="1" x14ac:dyDescent="0.25">
      <c r="A30" s="83" t="s">
        <v>9</v>
      </c>
      <c r="B30" s="85"/>
      <c r="C30" s="61">
        <v>93.403798109785029</v>
      </c>
      <c r="D30" s="62">
        <v>91.51700700493744</v>
      </c>
      <c r="E30" s="62">
        <v>89.749880462689262</v>
      </c>
      <c r="F30" s="62">
        <v>83.99730958119234</v>
      </c>
      <c r="G30" s="62">
        <v>74.394962965986878</v>
      </c>
      <c r="H30" s="62">
        <v>58.095582470498513</v>
      </c>
      <c r="I30" s="63">
        <v>44.434812706207254</v>
      </c>
      <c r="J30" s="24"/>
      <c r="K30" s="24"/>
      <c r="L30" s="74" t="str">
        <f t="shared" ref="L30:L33" si="5">"    "&amp;_xlfn.TEXTJOIN(", ",TRUE,C30:I30)&amp;","</f>
        <v xml:space="preserve">    93.403798109785, 91.5170070049374, 89.7498804626893, 83.9973095811923, 74.3949629659869, 58.0955824704985, 44.4348127062073,</v>
      </c>
      <c r="M30" s="83" t="s">
        <v>9</v>
      </c>
      <c r="N30" s="85"/>
      <c r="O30" s="61">
        <v>3.9553866501853321</v>
      </c>
      <c r="P30" s="62">
        <v>4.517630835861226</v>
      </c>
      <c r="Q30" s="62">
        <v>5.2125425794506972</v>
      </c>
      <c r="R30" s="62">
        <v>5.6477461387684551</v>
      </c>
      <c r="S30" s="62">
        <v>8.6090564713117175</v>
      </c>
      <c r="T30" s="62">
        <v>11.357157347254571</v>
      </c>
      <c r="U30" s="63">
        <v>9.3757621724255777</v>
      </c>
      <c r="V30" s="74" t="str">
        <f t="shared" ref="V30:V33" si="6">"    "&amp;_xlfn.TEXTJOIN(", ",TRUE,O30:U30)&amp;","</f>
        <v xml:space="preserve">    3.95538665018533, 4.51763083586123, 5.2125425794507, 5.64774613876846, 8.60905647131172, 11.3571573472546, 9.37576217242558,</v>
      </c>
    </row>
    <row r="31" spans="1:22" ht="15.75" thickBot="1" x14ac:dyDescent="0.25">
      <c r="A31" s="83" t="s">
        <v>10</v>
      </c>
      <c r="B31" s="85"/>
      <c r="C31" s="64">
        <v>92.778947400409621</v>
      </c>
      <c r="D31" s="65">
        <v>91.450368996373655</v>
      </c>
      <c r="E31" s="65">
        <v>89.879480954542075</v>
      </c>
      <c r="F31" s="65">
        <v>84.748756470336986</v>
      </c>
      <c r="G31" s="65">
        <v>75.627608782580538</v>
      </c>
      <c r="H31" s="65">
        <v>58.300265665116903</v>
      </c>
      <c r="I31" s="66">
        <v>48.584106437626268</v>
      </c>
      <c r="J31" s="24"/>
      <c r="K31" s="24"/>
      <c r="L31" s="74" t="str">
        <f t="shared" si="5"/>
        <v xml:space="preserve">    92.7789474004096, 91.4503689963737, 89.8794809545421, 84.748756470337, 75.6276087825805, 58.3002656651169, 48.5841064376263,</v>
      </c>
      <c r="M31" s="83" t="s">
        <v>10</v>
      </c>
      <c r="N31" s="85"/>
      <c r="O31" s="64">
        <v>4.3743918396131134</v>
      </c>
      <c r="P31" s="65">
        <v>5.1779143655465321</v>
      </c>
      <c r="Q31" s="65">
        <v>4.8362705721377752</v>
      </c>
      <c r="R31" s="65">
        <v>5.6797782301447892</v>
      </c>
      <c r="S31" s="65">
        <v>9.0190902977959446</v>
      </c>
      <c r="T31" s="65">
        <v>11.000258135261941</v>
      </c>
      <c r="U31" s="66">
        <v>9.2918474149187738</v>
      </c>
      <c r="V31" s="74" t="str">
        <f t="shared" si="6"/>
        <v xml:space="preserve">    4.37439183961311, 5.17791436554653, 4.83627057213778, 5.67977823014479, 9.01909029779594, 11.0002581352619, 9.29184741491877,</v>
      </c>
    </row>
    <row r="32" spans="1:22" ht="14.25" customHeight="1" thickBot="1" x14ac:dyDescent="0.25">
      <c r="A32" s="83" t="s">
        <v>18</v>
      </c>
      <c r="B32" s="85"/>
      <c r="C32" s="64">
        <v>92.492055194421354</v>
      </c>
      <c r="D32" s="65">
        <v>91.055738083245984</v>
      </c>
      <c r="E32" s="65">
        <v>89.241264887762341</v>
      </c>
      <c r="F32" s="65">
        <v>82.713601809643421</v>
      </c>
      <c r="G32" s="65">
        <v>73.133677048774885</v>
      </c>
      <c r="H32" s="65">
        <v>56.229205901331248</v>
      </c>
      <c r="I32" s="66">
        <v>43.695396708102962</v>
      </c>
      <c r="J32" s="24"/>
      <c r="K32" s="24"/>
      <c r="L32" s="74" t="str">
        <f t="shared" si="5"/>
        <v xml:space="preserve">    92.4920551944214, 91.055738083246, 89.2412648877623, 82.7136018096434, 73.1336770487749, 56.2292059013312, 43.695396708103,</v>
      </c>
      <c r="M32" s="83" t="s">
        <v>18</v>
      </c>
      <c r="N32" s="85"/>
      <c r="O32" s="64">
        <v>4.0986250609792014</v>
      </c>
      <c r="P32" s="65">
        <v>4.5926443490712341</v>
      </c>
      <c r="Q32" s="65">
        <v>4.8521598807380544</v>
      </c>
      <c r="R32" s="65">
        <v>5.8188919126166327</v>
      </c>
      <c r="S32" s="65">
        <v>9.5088987825376563</v>
      </c>
      <c r="T32" s="65">
        <v>11.32839542788332</v>
      </c>
      <c r="U32" s="66">
        <v>10.62887090695313</v>
      </c>
      <c r="V32" s="74" t="str">
        <f t="shared" si="6"/>
        <v xml:space="preserve">    4.0986250609792, 4.59264434907123, 4.85215988073805, 5.81889191261663, 9.50889878253766, 11.3283954278833, 10.6288709069531,</v>
      </c>
    </row>
    <row r="33" spans="1:22" ht="15.75" thickBot="1" x14ac:dyDescent="0.25">
      <c r="A33" s="83" t="s">
        <v>19</v>
      </c>
      <c r="B33" s="85"/>
      <c r="C33" s="67">
        <v>92.657174075741665</v>
      </c>
      <c r="D33" s="68">
        <v>91.208050814372243</v>
      </c>
      <c r="E33" s="68">
        <v>89.170455678091372</v>
      </c>
      <c r="F33" s="68">
        <v>84.474616062770011</v>
      </c>
      <c r="G33" s="68">
        <v>75.066668593640316</v>
      </c>
      <c r="H33" s="68">
        <v>58.520340993368222</v>
      </c>
      <c r="I33" s="69">
        <v>44.786141592049418</v>
      </c>
      <c r="J33" s="24"/>
      <c r="K33" s="24"/>
      <c r="L33" s="74" t="str">
        <f t="shared" si="5"/>
        <v xml:space="preserve">    92.6571740757417, 91.2080508143722, 89.1704556780914, 84.47461606277, 75.0666685936403, 58.5203409933682, 44.7861415920494,</v>
      </c>
      <c r="M33" s="83" t="s">
        <v>19</v>
      </c>
      <c r="N33" s="85"/>
      <c r="O33" s="67">
        <v>4.2589004392769629</v>
      </c>
      <c r="P33" s="68">
        <v>4.8517186601265534</v>
      </c>
      <c r="Q33" s="68">
        <v>5.6717673083496472</v>
      </c>
      <c r="R33" s="68">
        <v>5.3079507961921779</v>
      </c>
      <c r="S33" s="68">
        <v>7.7884705615072454</v>
      </c>
      <c r="T33" s="68">
        <v>10.595563377926201</v>
      </c>
      <c r="U33" s="69">
        <v>10.945843294214329</v>
      </c>
      <c r="V33" s="74" t="str">
        <f t="shared" si="6"/>
        <v xml:space="preserve">    4.25890043927696, 4.85171866012655, 5.67176730834965, 5.30795079619218, 7.78847056150725, 10.5955633779262, 10.9458432942143,</v>
      </c>
    </row>
    <row r="35" spans="1:22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5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5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M16:N16"/>
    <mergeCell ref="A3:B3"/>
    <mergeCell ref="M3:N3"/>
    <mergeCell ref="A20:B20"/>
    <mergeCell ref="M20:N20"/>
    <mergeCell ref="A13:B13"/>
    <mergeCell ref="A14:B14"/>
    <mergeCell ref="A5:B5"/>
    <mergeCell ref="M5:N5"/>
    <mergeCell ref="A12:I12"/>
    <mergeCell ref="A6:I6"/>
    <mergeCell ref="M12:U12"/>
    <mergeCell ref="A4:B4"/>
    <mergeCell ref="M4:N4"/>
    <mergeCell ref="A29:I29"/>
    <mergeCell ref="A32:B32"/>
    <mergeCell ref="A33:B33"/>
    <mergeCell ref="M29:U29"/>
    <mergeCell ref="M32:N32"/>
    <mergeCell ref="M33:N33"/>
    <mergeCell ref="A30:B30"/>
    <mergeCell ref="A31:B31"/>
    <mergeCell ref="M30:N30"/>
    <mergeCell ref="M31:N31"/>
    <mergeCell ref="M23:U23"/>
    <mergeCell ref="M6:U6"/>
    <mergeCell ref="A2:I2"/>
    <mergeCell ref="M2:U2"/>
    <mergeCell ref="A19:I19"/>
    <mergeCell ref="M19:U19"/>
    <mergeCell ref="A23:I23"/>
    <mergeCell ref="M13:N13"/>
    <mergeCell ref="M14:N14"/>
    <mergeCell ref="A21:B21"/>
    <mergeCell ref="M21:N21"/>
    <mergeCell ref="A22:B22"/>
    <mergeCell ref="M22:N22"/>
    <mergeCell ref="A15:B15"/>
    <mergeCell ref="A16:B16"/>
    <mergeCell ref="M15:N15"/>
  </mergeCells>
  <phoneticPr fontId="1" type="noConversion"/>
  <conditionalFormatting sqref="C3:I3 C5:I5">
    <cfRule type="colorScale" priority="1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C7:I11 C5:I5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3 C5:I5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3 J6:K11 C5:K5">
    <cfRule type="colorScale" priority="2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K4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1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J11 J3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8">
    <cfRule type="colorScale" priority="1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3 J5:K11">
    <cfRule type="colorScale" priority="2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:K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5:K5">
    <cfRule type="colorScale" priority="2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28">
    <cfRule type="colorScale" priority="2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1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11 K3">
    <cfRule type="colorScale" priority="2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4:K28">
    <cfRule type="colorScale" priority="2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9:K29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9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K16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J1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2:K1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2:K16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2:K1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nm_basis_F, nm_modifier_F</vt:lpstr>
      <vt:lpstr>nm_basis_T, nm_modifier_F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2026-04-30T07:14:25Z</dcterms:modified>
</cp:coreProperties>
</file>