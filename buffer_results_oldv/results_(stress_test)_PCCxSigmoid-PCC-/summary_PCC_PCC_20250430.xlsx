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CC-\"/>
    </mc:Choice>
  </mc:AlternateContent>
  <xr:revisionPtr revIDLastSave="0" documentId="13_ncr:1_{BC3B144B-3847-4657-BFE0-BF300C4108BF}" xr6:coauthVersionLast="47" xr6:coauthVersionMax="47" xr10:uidLastSave="{00000000-0000-0000-0000-000000000000}"/>
  <bookViews>
    <workbookView xWindow="-28920" yWindow="-120" windowWidth="29040" windowHeight="16440" tabRatio="660" xr2:uid="{00000000-000D-0000-FFFF-FFFF00000000}"/>
  </bookViews>
  <sheets>
    <sheet name="nm_basis_F, nm_modifier_F" sheetId="7" r:id="rId1"/>
    <sheet name="nm_basis_T, nm_modifier_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5" l="1" a="1"/>
  <c r="K3" i="5"/>
  <c r="V5" i="5"/>
  <c r="L5" i="5"/>
  <c r="K5" i="5" a="1"/>
  <c r="K5" i="5" s="1"/>
  <c r="J5" i="5" a="1"/>
  <c r="J5" i="5" s="1"/>
  <c r="V5" i="7"/>
  <c r="L5" i="7"/>
  <c r="K5" i="7" a="1"/>
  <c r="K5" i="7" s="1"/>
  <c r="J5" i="7" a="1"/>
  <c r="J5" i="7" s="1"/>
  <c r="V33" i="7"/>
  <c r="V32" i="7"/>
  <c r="V31" i="7"/>
  <c r="V30" i="7"/>
  <c r="V28" i="7"/>
  <c r="V27" i="7"/>
  <c r="V26" i="7"/>
  <c r="V25" i="7"/>
  <c r="V24" i="7"/>
  <c r="V22" i="7"/>
  <c r="V21" i="7"/>
  <c r="V20" i="7"/>
  <c r="V16" i="7"/>
  <c r="V15" i="7"/>
  <c r="V14" i="7"/>
  <c r="V13" i="7"/>
  <c r="V11" i="7"/>
  <c r="V10" i="7"/>
  <c r="V9" i="7"/>
  <c r="V8" i="7"/>
  <c r="V7" i="7"/>
  <c r="V4" i="7"/>
  <c r="V3" i="7"/>
  <c r="L33" i="7"/>
  <c r="L32" i="7"/>
  <c r="L31" i="7"/>
  <c r="L30" i="7"/>
  <c r="L28" i="7"/>
  <c r="L27" i="7"/>
  <c r="L26" i="7"/>
  <c r="L25" i="7"/>
  <c r="L24" i="7"/>
  <c r="L22" i="7"/>
  <c r="L21" i="7"/>
  <c r="L20" i="7"/>
  <c r="L16" i="7"/>
  <c r="L15" i="7"/>
  <c r="L14" i="7"/>
  <c r="L13" i="7"/>
  <c r="L11" i="7"/>
  <c r="L10" i="7"/>
  <c r="L9" i="7"/>
  <c r="L8" i="7"/>
  <c r="L7" i="7"/>
  <c r="L4" i="7"/>
  <c r="L3" i="7"/>
  <c r="V22" i="5"/>
  <c r="V24" i="5"/>
  <c r="V25" i="5"/>
  <c r="V26" i="5"/>
  <c r="V27" i="5"/>
  <c r="V28" i="5"/>
  <c r="V7" i="5"/>
  <c r="V8" i="5"/>
  <c r="V9" i="5"/>
  <c r="V10" i="5"/>
  <c r="V11" i="5"/>
  <c r="L22" i="5"/>
  <c r="L24" i="5"/>
  <c r="L25" i="5"/>
  <c r="L26" i="5"/>
  <c r="L27" i="5"/>
  <c r="L28" i="5"/>
  <c r="L7" i="5"/>
  <c r="L8" i="5"/>
  <c r="L9" i="5"/>
  <c r="L10" i="5"/>
  <c r="L11" i="5"/>
  <c r="K7" i="7" a="1"/>
  <c r="K7" i="7" s="1"/>
  <c r="K7" i="5" a="1"/>
  <c r="K7" i="5" s="1"/>
  <c r="K16" i="7" a="1"/>
  <c r="K16" i="7" s="1"/>
  <c r="J16" i="7" a="1"/>
  <c r="J16" i="7" s="1"/>
  <c r="K15" i="7" a="1"/>
  <c r="K15" i="7" s="1"/>
  <c r="J15" i="7" a="1"/>
  <c r="J15" i="7" s="1"/>
  <c r="K14" i="7" a="1"/>
  <c r="K14" i="7" s="1"/>
  <c r="J14" i="7" a="1"/>
  <c r="J14" i="7" s="1"/>
  <c r="K13" i="7" a="1"/>
  <c r="K13" i="7" s="1"/>
  <c r="J13" i="7" a="1"/>
  <c r="J13" i="7" s="1"/>
  <c r="K11" i="7" a="1"/>
  <c r="K11" i="7" s="1"/>
  <c r="J11" i="7" a="1"/>
  <c r="J11" i="7" s="1"/>
  <c r="K10" i="7" a="1"/>
  <c r="K10" i="7" s="1"/>
  <c r="J10" i="7" a="1"/>
  <c r="J10" i="7" s="1"/>
  <c r="K9" i="7" a="1"/>
  <c r="K9" i="7" s="1"/>
  <c r="J9" i="7" a="1"/>
  <c r="J9" i="7" s="1"/>
  <c r="K8" i="7" a="1"/>
  <c r="K8" i="7" s="1"/>
  <c r="J8" i="7" a="1"/>
  <c r="J8" i="7" s="1"/>
  <c r="J7" i="7" a="1"/>
  <c r="J7" i="7" s="1"/>
  <c r="K4" i="7" a="1"/>
  <c r="K4" i="7" s="1"/>
  <c r="J4" i="7" a="1"/>
  <c r="J4" i="7" s="1"/>
  <c r="K3" i="7" a="1"/>
  <c r="K3" i="7" s="1"/>
  <c r="J3" i="7" a="1"/>
  <c r="J3" i="7" s="1"/>
  <c r="K10" i="5" a="1"/>
  <c r="K10" i="5" s="1"/>
  <c r="K9" i="5" a="1"/>
  <c r="K9" i="5" s="1"/>
  <c r="K8" i="5" a="1"/>
  <c r="K8" i="5" s="1"/>
  <c r="J10" i="5" a="1"/>
  <c r="J10" i="5" s="1"/>
  <c r="J9" i="5" a="1"/>
  <c r="J9" i="5" s="1"/>
  <c r="J8" i="5" a="1"/>
  <c r="J8" i="5" s="1"/>
  <c r="J7" i="5" a="1"/>
  <c r="J7" i="5" s="1"/>
  <c r="K11" i="5" a="1"/>
  <c r="K11" i="5" s="1"/>
  <c r="J11" i="5" a="1"/>
  <c r="J11" i="5" s="1"/>
  <c r="V33" i="5"/>
  <c r="V32" i="5"/>
  <c r="V31" i="5"/>
  <c r="V30" i="5"/>
  <c r="V21" i="5"/>
  <c r="V20" i="5"/>
  <c r="V16" i="5"/>
  <c r="V15" i="5"/>
  <c r="V14" i="5"/>
  <c r="V13" i="5"/>
  <c r="V4" i="5"/>
  <c r="V3" i="5"/>
  <c r="L4" i="5"/>
  <c r="L13" i="5"/>
  <c r="L14" i="5"/>
  <c r="L15" i="5"/>
  <c r="L16" i="5"/>
  <c r="K14" i="5" a="1"/>
  <c r="K14" i="5" s="1"/>
  <c r="J14" i="5" a="1"/>
  <c r="J14" i="5" s="1"/>
  <c r="L33" i="5"/>
  <c r="L21" i="5"/>
  <c r="J16" i="5" a="1"/>
  <c r="J16" i="5" s="1"/>
  <c r="J15" i="5" a="1"/>
  <c r="J15" i="5" s="1"/>
  <c r="J13" i="5" a="1"/>
  <c r="J13" i="5" s="1"/>
  <c r="J4" i="5" a="1"/>
  <c r="J4" i="5" s="1"/>
  <c r="J3" i="5" a="1"/>
  <c r="J3" i="5" s="1"/>
  <c r="K16" i="5" a="1"/>
  <c r="K16" i="5" s="1"/>
  <c r="K15" i="5" a="1"/>
  <c r="K15" i="5" s="1"/>
  <c r="K13" i="5" a="1"/>
  <c r="K13" i="5" s="1"/>
  <c r="K4" i="5" a="1"/>
  <c r="K4" i="5" s="1"/>
  <c r="L32" i="5"/>
  <c r="L31" i="5"/>
  <c r="L30" i="5"/>
  <c r="L20" i="5"/>
  <c r="L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<sst xmlns="http://schemas.openxmlformats.org/spreadsheetml/2006/main" count="180" uniqueCount="23">
  <si>
    <t>Accuracy</t>
    <phoneticPr fontId="1" type="noConversion"/>
  </si>
  <si>
    <t>NRR</t>
    <phoneticPr fontId="1" type="noConversion"/>
  </si>
  <si>
    <t>Original FN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</si>
  <si>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</si>
  <si>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</si>
  <si>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</si>
  <si>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</si>
  <si>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</si>
  <si>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PG-AC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</si>
  <si>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</si>
  <si>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</si>
  <si>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</si>
  <si>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</si>
  <si>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k=10, tp=30</t>
    <phoneticPr fontId="1" type="noConversion"/>
  </si>
  <si>
    <t>k=20, tp=30</t>
    <phoneticPr fontId="1" type="noConversion"/>
  </si>
  <si>
    <t>k=50, tp=30</t>
    <phoneticPr fontId="1" type="noConversion"/>
  </si>
  <si>
    <t>k=200, tp=30</t>
    <phoneticPr fontId="1" type="noConversion"/>
  </si>
  <si>
    <t>Heaviside, tp=30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</si>
  <si>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</si>
  <si>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</si>
  <si>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Baselines</t>
    <phoneticPr fontId="1" type="noConversion"/>
  </si>
  <si>
    <t>Proposed: PC-AEC</t>
    <phoneticPr fontId="1" type="noConversion"/>
  </si>
  <si>
    <t>Competitors: PCC &amp; PLV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</si>
</sst>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13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1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9" xfId="0" applyFont="1" applyFill="1" applyBorder="1"/>
    <xf numFmtId="0" fontId="2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9F49-0B75-44E6-A9A8-BE7E9565B2B2}">
  <dimension ref="A1:V45"/>
  <sheetViews>
    <sheetView tabSelected="1"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3" t="s">
        <v>20</v>
      </c>
      <c r="B2" s="74"/>
      <c r="C2" s="74"/>
      <c r="D2" s="74"/>
      <c r="E2" s="74"/>
      <c r="F2" s="74"/>
      <c r="G2" s="74"/>
      <c r="H2" s="74"/>
      <c r="I2" s="75"/>
      <c r="J2" s="13"/>
      <c r="K2" s="13"/>
      <c r="L2" s="68"/>
      <c r="M2" s="73" t="s">
        <v>20</v>
      </c>
      <c r="N2" s="74"/>
      <c r="O2" s="74"/>
      <c r="P2" s="74"/>
      <c r="Q2" s="74"/>
      <c r="R2" s="74"/>
      <c r="S2" s="74"/>
      <c r="T2" s="74"/>
      <c r="U2" s="75"/>
      <c r="V2" s="68"/>
    </row>
    <row r="3" spans="1:22" ht="15.75" thickBot="1" x14ac:dyDescent="0.25">
      <c r="A3" s="73" t="s">
        <v>6</v>
      </c>
      <c r="B3" s="75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3" t="s">
        <v>6</v>
      </c>
      <c r="N3" s="75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3" t="s">
        <v>7</v>
      </c>
      <c r="B4" s="75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3" t="s">
        <v>7</v>
      </c>
      <c r="N4" s="75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6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3" t="s">
        <v>12</v>
      </c>
      <c r="B5" s="75"/>
      <c r="C5" s="84">
        <v>87.593900000000005</v>
      </c>
      <c r="D5" s="85">
        <v>87.663716814159287</v>
      </c>
      <c r="E5" s="85">
        <v>88.112094395280209</v>
      </c>
      <c r="F5" s="85">
        <v>87.970025692263789</v>
      </c>
      <c r="G5" s="85">
        <v>87.461708146264243</v>
      </c>
      <c r="H5" s="85">
        <v>75.251363189416281</v>
      </c>
      <c r="I5" s="86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68" t="str">
        <f>"    "&amp;_xlfn.TEXTJOIN(", ",TRUE,C5:I5)&amp;","</f>
        <v xml:space="preserve">    87.5939, 87.6637168141593, 88.1120943952802, 87.9700256922638, 87.4617081462642, 75.2513631894163, 47.7206838582802,</v>
      </c>
      <c r="M5" s="73" t="s">
        <v>12</v>
      </c>
      <c r="N5" s="75"/>
      <c r="O5" s="87">
        <v>2.4529187882918819</v>
      </c>
      <c r="P5" s="85">
        <v>2.16276566139488</v>
      </c>
      <c r="Q5" s="85">
        <v>2.2973398804747198</v>
      </c>
      <c r="R5" s="85">
        <v>2.134165319654592</v>
      </c>
      <c r="S5" s="85">
        <v>2.3834878752826651</v>
      </c>
      <c r="T5" s="85">
        <v>3.787986046410059</v>
      </c>
      <c r="U5" s="86">
        <v>3.7419646549723868</v>
      </c>
      <c r="V5" s="68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3" t="s">
        <v>21</v>
      </c>
      <c r="B6" s="74"/>
      <c r="C6" s="74"/>
      <c r="D6" s="74"/>
      <c r="E6" s="74"/>
      <c r="F6" s="74"/>
      <c r="G6" s="74"/>
      <c r="H6" s="74"/>
      <c r="I6" s="75"/>
      <c r="J6" s="18"/>
      <c r="K6" s="18"/>
      <c r="L6" s="68"/>
      <c r="M6" s="73" t="s">
        <v>21</v>
      </c>
      <c r="N6" s="74"/>
      <c r="O6" s="74"/>
      <c r="P6" s="74"/>
      <c r="Q6" s="74"/>
      <c r="R6" s="74"/>
      <c r="S6" s="74"/>
      <c r="T6" s="74"/>
      <c r="U6" s="75"/>
      <c r="V6" s="68"/>
    </row>
    <row r="7" spans="1:22" ht="15.75" customHeight="1" thickBot="1" x14ac:dyDescent="0.25">
      <c r="A7" s="21" t="s">
        <v>13</v>
      </c>
      <c r="B7" s="19" t="s">
        <v>8</v>
      </c>
      <c r="C7" s="32">
        <v>93.518213825379107</v>
      </c>
      <c r="D7" s="33">
        <v>92.270512720698278</v>
      </c>
      <c r="E7" s="33">
        <v>90.512213196769281</v>
      </c>
      <c r="F7" s="33">
        <v>84.455661381153789</v>
      </c>
      <c r="G7" s="33">
        <v>74.544004129216816</v>
      </c>
      <c r="H7" s="33">
        <v>59.670149972462269</v>
      </c>
      <c r="I7" s="34">
        <v>47.342286697981812</v>
      </c>
      <c r="J7" s="18" cm="1">
        <f t="array" ref="J7">-SUMPRODUCT((D1:H1-C1:G1)*(C7:G7+D7:H7)/2)</f>
        <v>78.228909996337904</v>
      </c>
      <c r="K7" s="18" cm="1">
        <f t="array" ref="K7">-SUMPRODUCT((D1:I1-C1:H1)*(C7:H7+D7:I7)/2)</f>
        <v>80.90422091309901</v>
      </c>
      <c r="L7" s="68" t="str">
        <f>"    "&amp;_xlfn.TEXTJOIN(", ",TRUE,C7:I7)&amp;","</f>
        <v xml:space="preserve">    93.5182138253791, 92.2705127206983, 90.5122131967693, 84.4556613811538, 74.5440041292168, 59.6701499724623, 47.3422866979818,</v>
      </c>
      <c r="M7" s="21" t="s">
        <v>13</v>
      </c>
      <c r="N7" s="19" t="s">
        <v>8</v>
      </c>
      <c r="O7" s="32">
        <v>3.3978171975214071</v>
      </c>
      <c r="P7" s="33">
        <v>4.2940146331923996</v>
      </c>
      <c r="Q7" s="33">
        <v>4.4399957095869063</v>
      </c>
      <c r="R7" s="33">
        <v>5.5020167934871962</v>
      </c>
      <c r="S7" s="33">
        <v>9.4985070538694245</v>
      </c>
      <c r="T7" s="33">
        <v>12.014566421900341</v>
      </c>
      <c r="U7" s="34">
        <v>7.6038173658269059</v>
      </c>
      <c r="V7" s="68" t="str">
        <f t="shared" si="0"/>
        <v xml:space="preserve">    3.39781719752141, 4.2940146331924, 4.43999570958691, 5.5020167934872, 9.49850705386942, 12.0145664219003, 7.60381736582691,</v>
      </c>
    </row>
    <row r="8" spans="1:22" ht="15.75" customHeight="1" thickBot="1" x14ac:dyDescent="0.25">
      <c r="A8" s="21" t="s">
        <v>14</v>
      </c>
      <c r="B8" s="19" t="s">
        <v>8</v>
      </c>
      <c r="C8" s="35">
        <v>93.534918122129071</v>
      </c>
      <c r="D8" s="36">
        <v>92.843744323047787</v>
      </c>
      <c r="E8" s="36">
        <v>90.908819857149851</v>
      </c>
      <c r="F8" s="36">
        <v>85.219578024031335</v>
      </c>
      <c r="G8" s="36">
        <v>74.41363967969734</v>
      </c>
      <c r="H8" s="36">
        <v>59.791353443080538</v>
      </c>
      <c r="I8" s="37">
        <v>49.483429787454916</v>
      </c>
      <c r="J8" s="18" cm="1">
        <f t="array" ref="J8">-SUMPRODUCT((D1:H1-C1:G1)*(C8:G8+D8:H8)/2)</f>
        <v>78.571153657615255</v>
      </c>
      <c r="K8" s="18" cm="1">
        <f t="array" ref="K8">-SUMPRODUCT((D1:I1-C1:H1)*(C8:H8+D8:I8)/2)</f>
        <v>81.303023238378643</v>
      </c>
      <c r="L8" s="68" t="str">
        <f>"    "&amp;_xlfn.TEXTJOIN(", ",TRUE,C8:I8)&amp;","</f>
        <v xml:space="preserve">    93.5349181221291, 92.8437443230478, 90.9088198571499, 85.2195780240313, 74.4136396796973, 59.7913534430805, 49.4834297874549,</v>
      </c>
      <c r="M8" s="21" t="s">
        <v>14</v>
      </c>
      <c r="N8" s="19" t="s">
        <v>8</v>
      </c>
      <c r="O8" s="35">
        <v>3.49762329952169</v>
      </c>
      <c r="P8" s="36">
        <v>3.8636504301109542</v>
      </c>
      <c r="Q8" s="36">
        <v>4.4598702918890778</v>
      </c>
      <c r="R8" s="36">
        <v>5.1344236481860417</v>
      </c>
      <c r="S8" s="36">
        <v>8.7468626136868135</v>
      </c>
      <c r="T8" s="36">
        <v>11.693763972041751</v>
      </c>
      <c r="U8" s="37">
        <v>9.5708049011918792</v>
      </c>
      <c r="V8" s="68" t="str">
        <f t="shared" si="0"/>
        <v xml:space="preserve">    3.49762329952169, 3.86365043011095, 4.45987029188908, 5.13442364818604, 8.74686261368681, 11.6937639720418, 9.57080490119188,</v>
      </c>
    </row>
    <row r="9" spans="1:22" ht="15.75" customHeight="1" thickBot="1" x14ac:dyDescent="0.25">
      <c r="A9" s="21" t="s">
        <v>15</v>
      </c>
      <c r="B9" s="19" t="s">
        <v>8</v>
      </c>
      <c r="C9" s="35">
        <v>93.46511648024638</v>
      </c>
      <c r="D9" s="36">
        <v>92.82599907150292</v>
      </c>
      <c r="E9" s="36">
        <v>91.4307707390779</v>
      </c>
      <c r="F9" s="36">
        <v>85.427852605414685</v>
      </c>
      <c r="G9" s="36">
        <v>74.537147091814532</v>
      </c>
      <c r="H9" s="36">
        <v>60.328284270048478</v>
      </c>
      <c r="I9" s="37">
        <v>48.768377465779693</v>
      </c>
      <c r="J9" s="18" cm="1">
        <f t="array" ref="J9">-SUMPRODUCT((D1:H1-C1:G1)*(C9:G9+D9:H9)/2)</f>
        <v>78.74586955769513</v>
      </c>
      <c r="K9" s="18" cm="1">
        <f t="array" ref="K9">-SUMPRODUCT((D1:I1-C1:H1)*(C9:H9+D9:I9)/2)</f>
        <v>81.473286101090835</v>
      </c>
      <c r="L9" s="68" t="str">
        <f>"    "&amp;_xlfn.TEXTJOIN(", ",TRUE,C9:I9)&amp;","</f>
        <v xml:space="preserve">    93.4651164802464, 92.8259990715029, 91.4307707390779, 85.4278526054147, 74.5371470918145, 60.3282842700485, 48.7683774657797,</v>
      </c>
      <c r="M9" s="21" t="s">
        <v>15</v>
      </c>
      <c r="N9" s="19" t="s">
        <v>8</v>
      </c>
      <c r="O9" s="35">
        <v>3.6149784607437598</v>
      </c>
      <c r="P9" s="36">
        <v>3.725449624256016</v>
      </c>
      <c r="Q9" s="36">
        <v>3.982674721182383</v>
      </c>
      <c r="R9" s="36">
        <v>4.9752690004633378</v>
      </c>
      <c r="S9" s="36">
        <v>8.9463021364753619</v>
      </c>
      <c r="T9" s="36">
        <v>11.671329552544609</v>
      </c>
      <c r="U9" s="37">
        <v>9.9912989961705474</v>
      </c>
      <c r="V9" s="68" t="str">
        <f t="shared" si="0"/>
        <v xml:space="preserve">    3.61497846074376, 3.72544962425602, 3.98267472118238, 4.97526900046334, 8.94630213647536, 11.6713295525446, 9.99129899617055,</v>
      </c>
    </row>
    <row r="10" spans="1:22" ht="15.75" customHeight="1" thickBot="1" x14ac:dyDescent="0.25">
      <c r="A10" s="21" t="s">
        <v>16</v>
      </c>
      <c r="B10" s="19" t="s">
        <v>8</v>
      </c>
      <c r="C10" s="35">
        <v>93.628341652321097</v>
      </c>
      <c r="D10" s="36">
        <v>93.1347445335456</v>
      </c>
      <c r="E10" s="36">
        <v>91.462420378492325</v>
      </c>
      <c r="F10" s="36">
        <v>85.727598566308217</v>
      </c>
      <c r="G10" s="36">
        <v>75.922799216832885</v>
      </c>
      <c r="H10" s="36">
        <v>61.222124182158453</v>
      </c>
      <c r="I10" s="37">
        <v>49.459000510385053</v>
      </c>
      <c r="J10" s="18" cm="1">
        <f t="array" ref="J10">-SUMPRODUCT((D1:H1-C1:G1)*(C10:G10+D10:H10)/2)</f>
        <v>79.078799340824759</v>
      </c>
      <c r="K10" s="18" cm="1">
        <f t="array" ref="K10">-SUMPRODUCT((D1:I1-C1:H1)*(C10:H10+D10:I10)/2)</f>
        <v>81.845827458138345</v>
      </c>
      <c r="L10" s="68" t="str">
        <f>"    "&amp;_xlfn.TEXTJOIN(", ",TRUE,C10:I10)&amp;","</f>
        <v xml:space="preserve">    93.6283416523211, 93.1347445335456, 91.4624203784923, 85.7275985663082, 75.9227992168329, 61.2221241821585, 49.4590005103851,</v>
      </c>
      <c r="M10" s="21" t="s">
        <v>16</v>
      </c>
      <c r="N10" s="19" t="s">
        <v>8</v>
      </c>
      <c r="O10" s="35">
        <v>3.6965882082765038</v>
      </c>
      <c r="P10" s="36">
        <v>3.7061091297759892</v>
      </c>
      <c r="Q10" s="36">
        <v>4.152144798461106</v>
      </c>
      <c r="R10" s="36">
        <v>5.0811316272180482</v>
      </c>
      <c r="S10" s="36">
        <v>9.2290620575338398</v>
      </c>
      <c r="T10" s="36">
        <v>9.9837564060744839</v>
      </c>
      <c r="U10" s="37">
        <v>9.3075697922586187</v>
      </c>
      <c r="V10" s="68" t="str">
        <f t="shared" si="0"/>
        <v xml:space="preserve">    3.6965882082765, 3.70610912977599, 4.15214479846111, 5.08113162721805, 9.22906205753384, 9.98375640607448, 9.30756979225862,</v>
      </c>
    </row>
    <row r="11" spans="1:22" ht="15.75" customHeight="1" thickBot="1" x14ac:dyDescent="0.25">
      <c r="A11" s="4" t="s">
        <v>17</v>
      </c>
      <c r="B11" s="19" t="s">
        <v>8</v>
      </c>
      <c r="C11" s="38">
        <v>93.359910841212596</v>
      </c>
      <c r="D11" s="39">
        <v>93.004951023221068</v>
      </c>
      <c r="E11" s="39">
        <v>91.679628139805132</v>
      </c>
      <c r="F11" s="39">
        <v>85.408749210633317</v>
      </c>
      <c r="G11" s="39">
        <v>76.226619607436049</v>
      </c>
      <c r="H11" s="39">
        <v>61.249065014979941</v>
      </c>
      <c r="I11" s="40">
        <v>49.631651946239451</v>
      </c>
      <c r="J11" s="18" cm="1">
        <f t="array" ref="J11">-SUMPRODUCT((D1:H1-C1:G1)*(C11:G11+D11:H11)/2)</f>
        <v>79.045570535500588</v>
      </c>
      <c r="K11" s="18" cm="1">
        <f t="array" ref="K11">-SUMPRODUCT((D1:I1-C1:H1)*(C11:H11+D11:I11)/2)</f>
        <v>81.817588459531066</v>
      </c>
      <c r="L11" s="68" t="str">
        <f>"    "&amp;_xlfn.TEXTJOIN(", ",TRUE,C11:I11)&amp;","</f>
        <v xml:space="preserve">    93.3599108412126, 93.0049510232211, 91.6796281398051, 85.4087492106333, 76.226619607436, 61.2490650149799, 49.6316519462395,</v>
      </c>
      <c r="M11" s="4" t="s">
        <v>17</v>
      </c>
      <c r="N11" s="19" t="s">
        <v>8</v>
      </c>
      <c r="O11" s="38">
        <v>3.6969489802746338</v>
      </c>
      <c r="P11" s="39">
        <v>3.7743162236554419</v>
      </c>
      <c r="Q11" s="39">
        <v>4.0183161455895977</v>
      </c>
      <c r="R11" s="39">
        <v>5.5239472036366646</v>
      </c>
      <c r="S11" s="39">
        <v>8.887831326254588</v>
      </c>
      <c r="T11" s="39">
        <v>10.788676865113089</v>
      </c>
      <c r="U11" s="40">
        <v>8.9042998213690989</v>
      </c>
      <c r="V11" s="68" t="str">
        <f t="shared" si="0"/>
        <v xml:space="preserve">    3.69694898027463, 3.77431622365544, 4.0183161455896, 5.52394720363666, 8.88783132625459, 10.7886768651131, 8.9042998213691,</v>
      </c>
    </row>
    <row r="12" spans="1:22" ht="15.75" customHeight="1" thickBot="1" x14ac:dyDescent="0.25">
      <c r="A12" s="73" t="s">
        <v>22</v>
      </c>
      <c r="B12" s="74"/>
      <c r="C12" s="76"/>
      <c r="D12" s="76"/>
      <c r="E12" s="76"/>
      <c r="F12" s="76"/>
      <c r="G12" s="76"/>
      <c r="H12" s="76"/>
      <c r="I12" s="77"/>
      <c r="J12" s="18"/>
      <c r="K12" s="18"/>
      <c r="L12" s="68"/>
      <c r="M12" s="73" t="s">
        <v>22</v>
      </c>
      <c r="N12" s="74"/>
      <c r="O12" s="76"/>
      <c r="P12" s="76"/>
      <c r="Q12" s="76"/>
      <c r="R12" s="76"/>
      <c r="S12" s="76"/>
      <c r="T12" s="76"/>
      <c r="U12" s="77"/>
      <c r="V12" s="68"/>
    </row>
    <row r="13" spans="1:22" ht="15.75" customHeight="1" thickBot="1" x14ac:dyDescent="0.25">
      <c r="A13" s="73" t="s">
        <v>9</v>
      </c>
      <c r="B13" s="75"/>
      <c r="C13" s="50"/>
      <c r="D13" s="51"/>
      <c r="E13" s="51"/>
      <c r="F13" s="51"/>
      <c r="G13" s="51"/>
      <c r="H13" s="51"/>
      <c r="I13" s="52"/>
      <c r="J13" s="18" cm="1">
        <f t="array" ref="J13">-SUMPRODUCT((D1:H1-C1:G1)*(C13:G13+D13:H13)/2)</f>
        <v>0</v>
      </c>
      <c r="K13" s="18" cm="1">
        <f t="array" ref="K13">-SUMPRODUCT((D1:I1-C1:H1)*(C13:H13+D13:I13)/2)</f>
        <v>0</v>
      </c>
      <c r="L13" s="68" t="str">
        <f>"    "&amp;_xlfn.TEXTJOIN(", ",TRUE,C13:I13)&amp;","</f>
        <v xml:space="preserve">    ,</v>
      </c>
      <c r="M13" s="73" t="s">
        <v>9</v>
      </c>
      <c r="N13" s="75"/>
      <c r="O13" s="50"/>
      <c r="P13" s="51"/>
      <c r="Q13" s="51"/>
      <c r="R13" s="51"/>
      <c r="S13" s="51"/>
      <c r="T13" s="51"/>
      <c r="U13" s="52"/>
      <c r="V13" s="68" t="str">
        <f t="shared" si="0"/>
        <v xml:space="preserve">    ,</v>
      </c>
    </row>
    <row r="14" spans="1:22" ht="15.75" customHeight="1" thickBot="1" x14ac:dyDescent="0.25">
      <c r="A14" s="78" t="s">
        <v>10</v>
      </c>
      <c r="B14" s="77"/>
      <c r="C14" s="53"/>
      <c r="D14" s="54"/>
      <c r="E14" s="54"/>
      <c r="F14" s="54"/>
      <c r="G14" s="54"/>
      <c r="H14" s="54"/>
      <c r="I14" s="55"/>
      <c r="J14" s="18" cm="1">
        <f t="array" ref="J14">-SUMPRODUCT((D1:H1-C1:G1)*(C14:G14+D14:H14)/2)</f>
        <v>0</v>
      </c>
      <c r="K14" s="18" cm="1">
        <f t="array" ref="K14">-SUMPRODUCT((D1:I1-C1:H1)*(C14:H14+D14:I14)/2)</f>
        <v>0</v>
      </c>
      <c r="L14" s="68" t="str">
        <f>"    "&amp;_xlfn.TEXTJOIN(", ",TRUE,C14:I14)&amp;","</f>
        <v xml:space="preserve">    ,</v>
      </c>
      <c r="M14" s="73" t="s">
        <v>10</v>
      </c>
      <c r="N14" s="75"/>
      <c r="O14" s="53"/>
      <c r="P14" s="54"/>
      <c r="Q14" s="54"/>
      <c r="R14" s="54"/>
      <c r="S14" s="54"/>
      <c r="T14" s="54"/>
      <c r="U14" s="55"/>
      <c r="V14" s="68" t="str">
        <f t="shared" si="0"/>
        <v xml:space="preserve">    ,</v>
      </c>
    </row>
    <row r="15" spans="1:22" ht="15.75" customHeight="1" thickBot="1" x14ac:dyDescent="0.25">
      <c r="A15" s="73" t="s">
        <v>18</v>
      </c>
      <c r="B15" s="75"/>
      <c r="C15" s="53"/>
      <c r="D15" s="54"/>
      <c r="E15" s="54"/>
      <c r="F15" s="54"/>
      <c r="G15" s="54"/>
      <c r="H15" s="54"/>
      <c r="I15" s="55"/>
      <c r="J15" s="18" cm="1">
        <f t="array" ref="J15">-SUMPRODUCT((D1:H1-C1:G1)*(C15:G15+D15:H15)/2)</f>
        <v>0</v>
      </c>
      <c r="K15" s="18" cm="1">
        <f t="array" ref="K15">-SUMPRODUCT((D1:I1-C1:H1)*(C15:H15+D15:I15)/2)</f>
        <v>0</v>
      </c>
      <c r="L15" s="68" t="str">
        <f>"    "&amp;_xlfn.TEXTJOIN(", ",TRUE,C15:I15)&amp;","</f>
        <v xml:space="preserve">    ,</v>
      </c>
      <c r="M15" s="73" t="s">
        <v>18</v>
      </c>
      <c r="N15" s="75"/>
      <c r="O15" s="53"/>
      <c r="P15" s="54"/>
      <c r="Q15" s="54"/>
      <c r="R15" s="54"/>
      <c r="S15" s="54"/>
      <c r="T15" s="54"/>
      <c r="U15" s="55"/>
      <c r="V15" s="68" t="str">
        <f t="shared" si="0"/>
        <v xml:space="preserve">    ,</v>
      </c>
    </row>
    <row r="16" spans="1:22" ht="15.75" customHeight="1" thickBot="1" x14ac:dyDescent="0.25">
      <c r="A16" s="73" t="s">
        <v>19</v>
      </c>
      <c r="B16" s="75"/>
      <c r="C16" s="56"/>
      <c r="D16" s="57"/>
      <c r="E16" s="57"/>
      <c r="F16" s="57"/>
      <c r="G16" s="57"/>
      <c r="H16" s="57"/>
      <c r="I16" s="58"/>
      <c r="J16" s="18" cm="1">
        <f t="array" ref="J16">-SUMPRODUCT((D1:H1-C1:G1)*(C16:G16+D16:H16)/2)</f>
        <v>0</v>
      </c>
      <c r="K16" s="18" cm="1">
        <f t="array" ref="K16">-SUMPRODUCT((D1:I1-C1:H1)*(C16:H16+D16:I16)/2)</f>
        <v>0</v>
      </c>
      <c r="L16" s="68" t="str">
        <f>"    "&amp;_xlfn.TEXTJOIN(", ",TRUE,C16:I16)&amp;","</f>
        <v xml:space="preserve">    ,</v>
      </c>
      <c r="M16" s="73" t="s">
        <v>19</v>
      </c>
      <c r="N16" s="75"/>
      <c r="O16" s="56"/>
      <c r="P16" s="57"/>
      <c r="Q16" s="57"/>
      <c r="R16" s="57"/>
      <c r="S16" s="57"/>
      <c r="T16" s="57"/>
      <c r="U16" s="58"/>
      <c r="V16" s="68" t="str">
        <f t="shared" si="0"/>
        <v xml:space="preserve">    ,</v>
      </c>
    </row>
    <row r="17" spans="1:22" ht="15" thickBo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9"/>
      <c r="M17" s="22"/>
      <c r="N17" s="22"/>
      <c r="O17" s="22"/>
      <c r="P17" s="22"/>
      <c r="Q17" s="22"/>
      <c r="R17" s="22"/>
      <c r="S17" s="22"/>
      <c r="T17" s="22"/>
      <c r="U17" s="22"/>
      <c r="V17" s="69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0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0"/>
    </row>
    <row r="19" spans="1:22" ht="15.75" thickBot="1" x14ac:dyDescent="0.25">
      <c r="A19" s="79" t="s">
        <v>20</v>
      </c>
      <c r="B19" s="80"/>
      <c r="C19" s="80"/>
      <c r="D19" s="80"/>
      <c r="E19" s="80"/>
      <c r="F19" s="80"/>
      <c r="G19" s="80"/>
      <c r="H19" s="80"/>
      <c r="I19" s="81"/>
      <c r="J19" s="14"/>
      <c r="K19" s="14"/>
      <c r="L19" s="70"/>
      <c r="M19" s="79" t="s">
        <v>20</v>
      </c>
      <c r="N19" s="80"/>
      <c r="O19" s="80"/>
      <c r="P19" s="80"/>
      <c r="Q19" s="80"/>
      <c r="R19" s="80"/>
      <c r="S19" s="80"/>
      <c r="T19" s="80"/>
      <c r="U19" s="81"/>
      <c r="V19" s="70"/>
    </row>
    <row r="20" spans="1:22" ht="15.75" thickBot="1" x14ac:dyDescent="0.25">
      <c r="A20" s="79" t="s">
        <v>6</v>
      </c>
      <c r="B20" s="81"/>
      <c r="C20" s="24">
        <v>92.567111769713335</v>
      </c>
      <c r="D20" s="24">
        <v>90.835858608343599</v>
      </c>
      <c r="E20" s="24">
        <v>89.217505339533233</v>
      </c>
      <c r="F20" s="24">
        <v>83.237245964288078</v>
      </c>
      <c r="G20" s="24">
        <v>75.380430844191011</v>
      </c>
      <c r="H20" s="24">
        <v>58.994367187597383</v>
      </c>
      <c r="I20" s="25">
        <v>43.622535641382179</v>
      </c>
      <c r="J20" s="23"/>
      <c r="K20" s="23"/>
      <c r="L20" s="70" t="str">
        <f>"    "&amp;_xlfn.TEXTJOIN(", ",TRUE,C20:I20)&amp;","</f>
        <v xml:space="preserve">    92.5671117697133, 90.8358586083436, 89.2175053395332, 83.2372459642881, 75.380430844191, 58.9943671875974, 43.6225356413822,</v>
      </c>
      <c r="M20" s="79" t="s">
        <v>2</v>
      </c>
      <c r="N20" s="81"/>
      <c r="O20" s="26">
        <v>3.88093621561358</v>
      </c>
      <c r="P20" s="24">
        <v>4.8164746829677396</v>
      </c>
      <c r="Q20" s="24">
        <v>5.2250608386616522</v>
      </c>
      <c r="R20" s="24">
        <v>5.6675721086724113</v>
      </c>
      <c r="S20" s="24">
        <v>8.3263283482936075</v>
      </c>
      <c r="T20" s="24">
        <v>10.49020927094638</v>
      </c>
      <c r="U20" s="25">
        <v>11.060437347759546</v>
      </c>
      <c r="V20" s="70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9" t="s">
        <v>7</v>
      </c>
      <c r="B21" s="81"/>
      <c r="C21" s="24">
        <v>92.866950218042462</v>
      </c>
      <c r="D21" s="24">
        <v>91.242690764745561</v>
      </c>
      <c r="E21" s="24">
        <v>90.137053227698445</v>
      </c>
      <c r="F21" s="24">
        <v>86.080152926613408</v>
      </c>
      <c r="G21" s="24">
        <v>77.410217255196784</v>
      </c>
      <c r="H21" s="24">
        <v>59.676194764980139</v>
      </c>
      <c r="I21" s="25">
        <v>46.395490419404197</v>
      </c>
      <c r="J21" s="23"/>
      <c r="K21" s="23"/>
      <c r="L21" s="70" t="str">
        <f>"    "&amp;_xlfn.TEXTJOIN(", ",TRUE,C21:I21)&amp;","</f>
        <v xml:space="preserve">    92.8669502180425, 91.2426907647456, 90.1370532276984, 86.0801529266134, 77.4102172551968, 59.6761947649801, 46.3954904194042,</v>
      </c>
      <c r="M21" s="79" t="s">
        <v>7</v>
      </c>
      <c r="N21" s="81"/>
      <c r="O21" s="24">
        <v>3.8319643020864191</v>
      </c>
      <c r="P21" s="24">
        <v>4.3603246705255447</v>
      </c>
      <c r="Q21" s="24">
        <v>4.7987735191879262</v>
      </c>
      <c r="R21" s="24">
        <v>5.1262965367330251</v>
      </c>
      <c r="S21" s="24">
        <v>7.087258799823358</v>
      </c>
      <c r="T21" s="24">
        <v>9.7457736576346736</v>
      </c>
      <c r="U21" s="25">
        <v>10.021578856839133</v>
      </c>
      <c r="V21" s="70" t="str">
        <f t="shared" ref="V21:V33" si="1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9" t="s">
        <v>12</v>
      </c>
      <c r="B22" s="81"/>
      <c r="C22" s="29">
        <v>87.268396410214976</v>
      </c>
      <c r="D22" s="30">
        <v>87.256428398686779</v>
      </c>
      <c r="E22" s="30">
        <v>87.822106304170404</v>
      </c>
      <c r="F22" s="30">
        <v>87.68072644235157</v>
      </c>
      <c r="G22" s="30">
        <v>87.144879367185226</v>
      </c>
      <c r="H22" s="30">
        <v>74.976567886515753</v>
      </c>
      <c r="I22" s="31">
        <v>46.41754739488244</v>
      </c>
      <c r="J22" s="23"/>
      <c r="K22" s="23"/>
      <c r="L22" s="70" t="str">
        <f t="shared" ref="L22:L28" si="2">"    "&amp;_xlfn.TEXTJOIN(", ",TRUE,C22:I22)&amp;","</f>
        <v xml:space="preserve">    87.268396410215, 87.2564283986868, 87.8221063041704, 87.6807264423516, 87.1448793671852, 74.9765678865158, 46.4175473948824,</v>
      </c>
      <c r="M22" s="79" t="s">
        <v>12</v>
      </c>
      <c r="N22" s="81"/>
      <c r="O22" s="29">
        <v>2.610595868561878</v>
      </c>
      <c r="P22" s="30">
        <v>2.3209805270224559</v>
      </c>
      <c r="Q22" s="30">
        <v>2.4426244152699921</v>
      </c>
      <c r="R22" s="30">
        <v>2.2821255442986761</v>
      </c>
      <c r="S22" s="30">
        <v>2.523131741400912</v>
      </c>
      <c r="T22" s="30">
        <v>3.7626100419371111</v>
      </c>
      <c r="U22" s="31">
        <v>4.1161081119796732</v>
      </c>
      <c r="V22" s="70" t="str">
        <f t="shared" si="1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9" t="s">
        <v>21</v>
      </c>
      <c r="B23" s="80"/>
      <c r="C23" s="80"/>
      <c r="D23" s="80"/>
      <c r="E23" s="80"/>
      <c r="F23" s="80"/>
      <c r="G23" s="80"/>
      <c r="H23" s="80"/>
      <c r="I23" s="81"/>
      <c r="J23" s="23"/>
      <c r="K23" s="23"/>
      <c r="L23" s="70"/>
      <c r="M23" s="79" t="s">
        <v>21</v>
      </c>
      <c r="N23" s="80"/>
      <c r="O23" s="80"/>
      <c r="P23" s="80"/>
      <c r="Q23" s="80"/>
      <c r="R23" s="80"/>
      <c r="S23" s="80"/>
      <c r="T23" s="80"/>
      <c r="U23" s="81"/>
      <c r="V23" s="70"/>
    </row>
    <row r="24" spans="1:22" ht="15.75" thickBot="1" x14ac:dyDescent="0.25">
      <c r="A24" s="27" t="s">
        <v>13</v>
      </c>
      <c r="B24" s="20" t="s">
        <v>8</v>
      </c>
      <c r="C24" s="41">
        <v>93.093772290620294</v>
      </c>
      <c r="D24" s="42">
        <v>91.780063936703584</v>
      </c>
      <c r="E24" s="42">
        <v>90.080979730002184</v>
      </c>
      <c r="F24" s="42">
        <v>83.782204902892957</v>
      </c>
      <c r="G24" s="42">
        <v>73.663684975160109</v>
      </c>
      <c r="H24" s="42">
        <v>58.239103359655708</v>
      </c>
      <c r="I24" s="43">
        <v>43.144570950850152</v>
      </c>
      <c r="J24" s="23"/>
      <c r="K24" s="23"/>
      <c r="L24" s="70" t="str">
        <f t="shared" si="2"/>
        <v xml:space="preserve">    93.0937722906203, 91.7800639367036, 90.0809797300022, 83.782204902893, 73.6636849751601, 58.2391033596557, 43.1445709508502,</v>
      </c>
      <c r="M24" s="27" t="s">
        <v>13</v>
      </c>
      <c r="N24" s="20" t="s">
        <v>8</v>
      </c>
      <c r="O24" s="41">
        <v>3.7481516000601491</v>
      </c>
      <c r="P24" s="42">
        <v>4.7406685323715987</v>
      </c>
      <c r="Q24" s="42">
        <v>4.828753807235775</v>
      </c>
      <c r="R24" s="42">
        <v>5.8105631377489892</v>
      </c>
      <c r="S24" s="42">
        <v>10.045630418811671</v>
      </c>
      <c r="T24" s="42">
        <v>12.318864911392181</v>
      </c>
      <c r="U24" s="43">
        <v>8.5721729295985956</v>
      </c>
      <c r="V24" s="70" t="str">
        <f t="shared" si="1"/>
        <v xml:space="preserve">    3.74815160006015, 4.7406685323716, 4.82875380723577, 5.81056313774899, 10.0456304188117, 12.3188649113922, 8.5721729295986,</v>
      </c>
    </row>
    <row r="25" spans="1:22" ht="15.75" thickBot="1" x14ac:dyDescent="0.25">
      <c r="A25" s="27" t="s">
        <v>14</v>
      </c>
      <c r="B25" s="20" t="s">
        <v>8</v>
      </c>
      <c r="C25" s="44">
        <v>93.142514271263039</v>
      </c>
      <c r="D25" s="45">
        <v>92.460953156074112</v>
      </c>
      <c r="E25" s="45">
        <v>90.451303446396565</v>
      </c>
      <c r="F25" s="45">
        <v>84.557398107621069</v>
      </c>
      <c r="G25" s="45">
        <v>73.587594131454082</v>
      </c>
      <c r="H25" s="45">
        <v>58.238070971310023</v>
      </c>
      <c r="I25" s="46">
        <v>46.370466629070293</v>
      </c>
      <c r="J25" s="23"/>
      <c r="K25" s="23"/>
      <c r="L25" s="70" t="str">
        <f t="shared" si="2"/>
        <v xml:space="preserve">    93.142514271263, 92.4609531560741, 90.4513034463966, 84.5573981076211, 73.5875941314541, 58.23807097131, 46.3704666290703,</v>
      </c>
      <c r="M25" s="27" t="s">
        <v>14</v>
      </c>
      <c r="N25" s="20" t="s">
        <v>8</v>
      </c>
      <c r="O25" s="44">
        <v>3.870242671570606</v>
      </c>
      <c r="P25" s="45">
        <v>4.2242143516443083</v>
      </c>
      <c r="Q25" s="45">
        <v>4.8550314813962174</v>
      </c>
      <c r="R25" s="45">
        <v>5.4950873545001846</v>
      </c>
      <c r="S25" s="45">
        <v>9.0830883258390713</v>
      </c>
      <c r="T25" s="45">
        <v>12.21912004438466</v>
      </c>
      <c r="U25" s="46">
        <v>10.831755553752689</v>
      </c>
      <c r="V25" s="70" t="str">
        <f t="shared" si="1"/>
        <v xml:space="preserve">    3.87024267157061, 4.22421435164431, 4.85503148139622, 5.49508735450018, 9.08308832583907, 12.2191200443847, 10.8317555537527,</v>
      </c>
    </row>
    <row r="26" spans="1:22" ht="15.75" thickBot="1" x14ac:dyDescent="0.25">
      <c r="A26" s="27" t="s">
        <v>15</v>
      </c>
      <c r="B26" s="20" t="s">
        <v>8</v>
      </c>
      <c r="C26" s="44">
        <v>93.097106500712385</v>
      </c>
      <c r="D26" s="45">
        <v>92.438692751797902</v>
      </c>
      <c r="E26" s="45">
        <v>91.08995148088178</v>
      </c>
      <c r="F26" s="45">
        <v>84.74808197259965</v>
      </c>
      <c r="G26" s="45">
        <v>73.652213087853681</v>
      </c>
      <c r="H26" s="45">
        <v>58.937184861308587</v>
      </c>
      <c r="I26" s="46">
        <v>45.687326830994728</v>
      </c>
      <c r="J26" s="23"/>
      <c r="K26" s="23"/>
      <c r="L26" s="70" t="str">
        <f t="shared" si="2"/>
        <v xml:space="preserve">    93.0971065007124, 92.4386927517979, 91.0899514808818, 84.7480819725996, 73.6522130878537, 58.9371848613086, 45.6873268309947,</v>
      </c>
      <c r="M26" s="27" t="s">
        <v>15</v>
      </c>
      <c r="N26" s="20" t="s">
        <v>8</v>
      </c>
      <c r="O26" s="44">
        <v>3.9885759873860822</v>
      </c>
      <c r="P26" s="45">
        <v>4.0911873802113146</v>
      </c>
      <c r="Q26" s="45">
        <v>4.2487088765987489</v>
      </c>
      <c r="R26" s="45">
        <v>5.3949085977322326</v>
      </c>
      <c r="S26" s="45">
        <v>9.4696769141243315</v>
      </c>
      <c r="T26" s="45">
        <v>12.23508529781868</v>
      </c>
      <c r="U26" s="46">
        <v>10.817609724685189</v>
      </c>
      <c r="V26" s="70" t="str">
        <f t="shared" si="1"/>
        <v xml:space="preserve">    3.98857598738608, 4.09118738021131, 4.24870887659875, 5.39490859773223, 9.46967691412433, 12.2350852978187, 10.8176097246852,</v>
      </c>
    </row>
    <row r="27" spans="1:22" ht="15.75" thickBot="1" x14ac:dyDescent="0.25">
      <c r="A27" s="27" t="s">
        <v>16</v>
      </c>
      <c r="B27" s="20" t="s">
        <v>8</v>
      </c>
      <c r="C27" s="44">
        <v>93.225854652261759</v>
      </c>
      <c r="D27" s="45">
        <v>92.735959836943934</v>
      </c>
      <c r="E27" s="45">
        <v>91.063827419196983</v>
      </c>
      <c r="F27" s="45">
        <v>85.120698140107393</v>
      </c>
      <c r="G27" s="45">
        <v>74.865312802018721</v>
      </c>
      <c r="H27" s="45">
        <v>59.758927619776912</v>
      </c>
      <c r="I27" s="46">
        <v>46.136376210829937</v>
      </c>
      <c r="J27" s="23"/>
      <c r="K27" s="23"/>
      <c r="L27" s="70" t="str">
        <f t="shared" si="2"/>
        <v xml:space="preserve">    93.2258546522618, 92.7359598369439, 91.063827419197, 85.1206981401074, 74.8653128020187, 59.7589276197769, 46.1363762108299,</v>
      </c>
      <c r="M27" s="27" t="s">
        <v>16</v>
      </c>
      <c r="N27" s="20" t="s">
        <v>8</v>
      </c>
      <c r="O27" s="44">
        <v>4.0514824777803611</v>
      </c>
      <c r="P27" s="45">
        <v>4.0566758624241199</v>
      </c>
      <c r="Q27" s="45">
        <v>4.5219049998697356</v>
      </c>
      <c r="R27" s="45">
        <v>5.501211430115144</v>
      </c>
      <c r="S27" s="45">
        <v>9.7257436801143236</v>
      </c>
      <c r="T27" s="45">
        <v>10.40774795608672</v>
      </c>
      <c r="U27" s="46">
        <v>9.9697257205297216</v>
      </c>
      <c r="V27" s="70" t="str">
        <f t="shared" si="1"/>
        <v xml:space="preserve">    4.05148247778036, 4.05667586242412, 4.52190499986974, 5.50121143011514, 9.72574368011432, 10.4077479560867, 9.96972572052972,</v>
      </c>
    </row>
    <row r="28" spans="1:22" ht="15.75" thickBot="1" x14ac:dyDescent="0.25">
      <c r="A28" s="28" t="s">
        <v>17</v>
      </c>
      <c r="B28" s="20" t="s">
        <v>8</v>
      </c>
      <c r="C28" s="47">
        <v>92.98334081387425</v>
      </c>
      <c r="D28" s="48">
        <v>92.665002460688413</v>
      </c>
      <c r="E28" s="48">
        <v>91.240968563949494</v>
      </c>
      <c r="F28" s="48">
        <v>84.837780429069838</v>
      </c>
      <c r="G28" s="48">
        <v>75.450480295384878</v>
      </c>
      <c r="H28" s="48">
        <v>59.708500699124301</v>
      </c>
      <c r="I28" s="49">
        <v>46.827950364949707</v>
      </c>
      <c r="J28" s="23"/>
      <c r="K28" s="23"/>
      <c r="L28" s="70" t="str">
        <f t="shared" si="2"/>
        <v xml:space="preserve">    92.9833408138742, 92.6650024606884, 91.2409685639495, 84.8377804290698, 75.4504802953849, 59.7085006991243, 46.8279503649497,</v>
      </c>
      <c r="M28" s="28" t="s">
        <v>17</v>
      </c>
      <c r="N28" s="20" t="s">
        <v>8</v>
      </c>
      <c r="O28" s="47">
        <v>4.047029068549703</v>
      </c>
      <c r="P28" s="48">
        <v>4.0939802876249018</v>
      </c>
      <c r="Q28" s="48">
        <v>4.4520389395614499</v>
      </c>
      <c r="R28" s="48">
        <v>5.8725133520041934</v>
      </c>
      <c r="S28" s="48">
        <v>9.1198860433459092</v>
      </c>
      <c r="T28" s="48">
        <v>11.4228840807754</v>
      </c>
      <c r="U28" s="49">
        <v>9.7047317426323225</v>
      </c>
      <c r="V28" s="70" t="str">
        <f t="shared" si="1"/>
        <v xml:space="preserve">    4.0470290685497, 4.0939802876249, 4.45203893956145, 5.87251335200419, 9.11988604334591, 11.4228840807754, 9.70473174263232,</v>
      </c>
    </row>
    <row r="29" spans="1:22" ht="15.75" thickBot="1" x14ac:dyDescent="0.25">
      <c r="A29" s="79" t="s">
        <v>22</v>
      </c>
      <c r="B29" s="80"/>
      <c r="C29" s="82"/>
      <c r="D29" s="82"/>
      <c r="E29" s="82"/>
      <c r="F29" s="82"/>
      <c r="G29" s="82"/>
      <c r="H29" s="82"/>
      <c r="I29" s="83"/>
      <c r="J29" s="23"/>
      <c r="K29" s="23"/>
      <c r="L29" s="70"/>
      <c r="M29" s="79" t="s">
        <v>22</v>
      </c>
      <c r="N29" s="80"/>
      <c r="O29" s="82"/>
      <c r="P29" s="82"/>
      <c r="Q29" s="82"/>
      <c r="R29" s="82"/>
      <c r="S29" s="82"/>
      <c r="T29" s="82"/>
      <c r="U29" s="83"/>
      <c r="V29" s="70"/>
    </row>
    <row r="30" spans="1:22" ht="14.25" customHeight="1" thickBot="1" x14ac:dyDescent="0.25">
      <c r="A30" s="79" t="s">
        <v>9</v>
      </c>
      <c r="B30" s="81"/>
      <c r="C30" s="59"/>
      <c r="D30" s="60"/>
      <c r="E30" s="60"/>
      <c r="F30" s="60"/>
      <c r="G30" s="60"/>
      <c r="H30" s="60"/>
      <c r="I30" s="61"/>
      <c r="J30" s="23"/>
      <c r="K30" s="23"/>
      <c r="L30" s="70" t="str">
        <f t="shared" ref="L30:L33" si="3">"    "&amp;_xlfn.TEXTJOIN(", ",TRUE,C30:I30)&amp;","</f>
        <v xml:space="preserve">    ,</v>
      </c>
      <c r="M30" s="79" t="s">
        <v>9</v>
      </c>
      <c r="N30" s="81"/>
      <c r="O30" s="59"/>
      <c r="P30" s="60"/>
      <c r="Q30" s="60"/>
      <c r="R30" s="60"/>
      <c r="S30" s="60"/>
      <c r="T30" s="60"/>
      <c r="U30" s="61"/>
      <c r="V30" s="70" t="str">
        <f t="shared" si="1"/>
        <v xml:space="preserve">    ,</v>
      </c>
    </row>
    <row r="31" spans="1:22" ht="15.75" thickBot="1" x14ac:dyDescent="0.25">
      <c r="A31" s="79" t="s">
        <v>10</v>
      </c>
      <c r="B31" s="81"/>
      <c r="C31" s="62"/>
      <c r="D31" s="63"/>
      <c r="E31" s="63"/>
      <c r="F31" s="63"/>
      <c r="G31" s="63"/>
      <c r="H31" s="63"/>
      <c r="I31" s="64"/>
      <c r="J31" s="23"/>
      <c r="K31" s="23"/>
      <c r="L31" s="70" t="str">
        <f t="shared" si="3"/>
        <v xml:space="preserve">    ,</v>
      </c>
      <c r="M31" s="79" t="s">
        <v>10</v>
      </c>
      <c r="N31" s="81"/>
      <c r="O31" s="62"/>
      <c r="P31" s="63"/>
      <c r="Q31" s="63"/>
      <c r="R31" s="63"/>
      <c r="S31" s="63"/>
      <c r="T31" s="63"/>
      <c r="U31" s="64"/>
      <c r="V31" s="70" t="str">
        <f t="shared" si="1"/>
        <v xml:space="preserve">    ,</v>
      </c>
    </row>
    <row r="32" spans="1:22" ht="14.25" customHeight="1" thickBot="1" x14ac:dyDescent="0.25">
      <c r="A32" s="79" t="s">
        <v>18</v>
      </c>
      <c r="B32" s="81"/>
      <c r="C32" s="62"/>
      <c r="D32" s="63"/>
      <c r="E32" s="63"/>
      <c r="F32" s="63"/>
      <c r="G32" s="63"/>
      <c r="H32" s="63"/>
      <c r="I32" s="64"/>
      <c r="J32" s="23"/>
      <c r="K32" s="23"/>
      <c r="L32" s="70" t="str">
        <f t="shared" si="3"/>
        <v xml:space="preserve">    ,</v>
      </c>
      <c r="M32" s="79" t="s">
        <v>18</v>
      </c>
      <c r="N32" s="81"/>
      <c r="O32" s="62"/>
      <c r="P32" s="63"/>
      <c r="Q32" s="63"/>
      <c r="R32" s="63"/>
      <c r="S32" s="63"/>
      <c r="T32" s="63"/>
      <c r="U32" s="64"/>
      <c r="V32" s="70" t="str">
        <f t="shared" si="1"/>
        <v xml:space="preserve">    ,</v>
      </c>
    </row>
    <row r="33" spans="1:22" ht="15.75" thickBot="1" x14ac:dyDescent="0.25">
      <c r="A33" s="79" t="s">
        <v>19</v>
      </c>
      <c r="B33" s="81"/>
      <c r="C33" s="65"/>
      <c r="D33" s="66"/>
      <c r="E33" s="66"/>
      <c r="F33" s="66"/>
      <c r="G33" s="66"/>
      <c r="H33" s="66"/>
      <c r="I33" s="67"/>
      <c r="J33" s="23"/>
      <c r="K33" s="23"/>
      <c r="L33" s="70" t="str">
        <f t="shared" si="3"/>
        <v xml:space="preserve">    ,</v>
      </c>
      <c r="M33" s="79" t="s">
        <v>19</v>
      </c>
      <c r="N33" s="81"/>
      <c r="O33" s="65"/>
      <c r="P33" s="66"/>
      <c r="Q33" s="66"/>
      <c r="R33" s="66"/>
      <c r="S33" s="66"/>
      <c r="T33" s="66"/>
      <c r="U33" s="67"/>
      <c r="V33" s="70" t="str">
        <f t="shared" si="1"/>
        <v xml:space="preserve">    ,</v>
      </c>
    </row>
    <row r="35" spans="1:22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1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1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A5:B5"/>
    <mergeCell ref="M5:N5"/>
    <mergeCell ref="A33:B33"/>
    <mergeCell ref="M33:N33"/>
    <mergeCell ref="A29:I29"/>
    <mergeCell ref="M29:U29"/>
    <mergeCell ref="A30:B30"/>
    <mergeCell ref="M30:N30"/>
    <mergeCell ref="A31:B31"/>
    <mergeCell ref="M31:N31"/>
    <mergeCell ref="A22:B22"/>
    <mergeCell ref="M22:N22"/>
    <mergeCell ref="A23:I23"/>
    <mergeCell ref="M23:U23"/>
    <mergeCell ref="A32:B32"/>
    <mergeCell ref="M32:N32"/>
    <mergeCell ref="A19:I19"/>
    <mergeCell ref="M19:U19"/>
    <mergeCell ref="A20:B20"/>
    <mergeCell ref="M20:N20"/>
    <mergeCell ref="A21:B21"/>
    <mergeCell ref="M21:N21"/>
    <mergeCell ref="A14:B14"/>
    <mergeCell ref="M14:N14"/>
    <mergeCell ref="A15:B15"/>
    <mergeCell ref="M15:N15"/>
    <mergeCell ref="A16:B16"/>
    <mergeCell ref="M16:N16"/>
    <mergeCell ref="A6:I6"/>
    <mergeCell ref="M6:U6"/>
    <mergeCell ref="A12:I12"/>
    <mergeCell ref="M12:U12"/>
    <mergeCell ref="A13:B13"/>
    <mergeCell ref="M13:N13"/>
    <mergeCell ref="A2:I2"/>
    <mergeCell ref="M2:U2"/>
    <mergeCell ref="A3:B3"/>
    <mergeCell ref="M3:N3"/>
    <mergeCell ref="A4:B4"/>
    <mergeCell ref="M4:N4"/>
  </mergeCells>
  <phoneticPr fontId="1" type="noConversion"/>
  <conditionalFormatting sqref="C3:I4 C7:I11 C13:I16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4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4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4 J6:J1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4 J6:K16">
    <cfRule type="colorScale" priority="1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4:K4">
    <cfRule type="colorScale" priority="1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16 C3:K4">
    <cfRule type="colorScale" priority="2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 K6:K16">
    <cfRule type="colorScale" priority="2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45"/>
  <sheetViews>
    <sheetView zoomScaleNormal="100" workbookViewId="0"/>
  </sheetViews>
  <sheetFormatPr defaultRowHeight="14.25" x14ac:dyDescent="0.2"/>
  <cols>
    <col min="1" max="2" width="15" style="1" customWidth="1"/>
    <col min="3" max="11" width="9" style="1"/>
    <col min="12" max="12" width="9" style="72"/>
    <col min="13" max="14" width="15" style="1" customWidth="1"/>
    <col min="15" max="21" width="9" style="1"/>
    <col min="22" max="22" width="9" style="72"/>
    <col min="23" max="16384" width="9" style="1"/>
  </cols>
  <sheetData>
    <row r="1" spans="1:22" ht="15.75" thickBot="1" x14ac:dyDescent="0.25">
      <c r="A1" s="3" t="s">
        <v>0</v>
      </c>
      <c r="B1" s="4" t="s">
        <v>1</v>
      </c>
      <c r="C1" s="11">
        <v>1</v>
      </c>
      <c r="D1" s="11">
        <v>0.75</v>
      </c>
      <c r="E1" s="11">
        <v>0.5</v>
      </c>
      <c r="F1" s="11">
        <v>0.3</v>
      </c>
      <c r="G1" s="11">
        <v>0.2</v>
      </c>
      <c r="H1" s="11">
        <v>0.1</v>
      </c>
      <c r="I1" s="12">
        <v>0.05</v>
      </c>
      <c r="J1" s="13" t="s">
        <v>11</v>
      </c>
      <c r="K1" s="13" t="s">
        <v>11</v>
      </c>
      <c r="L1" s="68"/>
      <c r="M1" s="3" t="s">
        <v>3</v>
      </c>
      <c r="N1" s="4" t="s">
        <v>1</v>
      </c>
      <c r="O1" s="5">
        <v>1</v>
      </c>
      <c r="P1" s="11">
        <v>0.75</v>
      </c>
      <c r="Q1" s="11">
        <v>0.5</v>
      </c>
      <c r="R1" s="11">
        <v>0.3</v>
      </c>
      <c r="S1" s="11">
        <v>0.2</v>
      </c>
      <c r="T1" s="11">
        <v>0.1</v>
      </c>
      <c r="U1" s="12">
        <v>0.05</v>
      </c>
      <c r="V1" s="68"/>
    </row>
    <row r="2" spans="1:22" ht="15.75" thickBot="1" x14ac:dyDescent="0.25">
      <c r="A2" s="73" t="s">
        <v>20</v>
      </c>
      <c r="B2" s="74"/>
      <c r="C2" s="74"/>
      <c r="D2" s="74"/>
      <c r="E2" s="74"/>
      <c r="F2" s="74"/>
      <c r="G2" s="74"/>
      <c r="H2" s="74"/>
      <c r="I2" s="75"/>
      <c r="J2" s="13"/>
      <c r="K2" s="13"/>
      <c r="L2" s="68"/>
      <c r="M2" s="73" t="s">
        <v>20</v>
      </c>
      <c r="N2" s="74"/>
      <c r="O2" s="74"/>
      <c r="P2" s="74"/>
      <c r="Q2" s="74"/>
      <c r="R2" s="74"/>
      <c r="S2" s="74"/>
      <c r="T2" s="74"/>
      <c r="U2" s="75"/>
      <c r="V2" s="68"/>
    </row>
    <row r="3" spans="1:22" ht="15.75" thickBot="1" x14ac:dyDescent="0.25">
      <c r="A3" s="73" t="s">
        <v>6</v>
      </c>
      <c r="B3" s="75"/>
      <c r="C3" s="15">
        <v>93.101364775358491</v>
      </c>
      <c r="D3" s="16">
        <v>91.326663725464783</v>
      </c>
      <c r="E3" s="16">
        <v>89.722561037148537</v>
      </c>
      <c r="F3" s="16">
        <v>83.857204647099024</v>
      </c>
      <c r="G3" s="16">
        <v>76.242949045118635</v>
      </c>
      <c r="H3" s="16">
        <v>60.40277741733636</v>
      </c>
      <c r="I3" s="17">
        <v>47.740900296138662</v>
      </c>
      <c r="J3" s="18" cm="1">
        <f t="array" ref="J3">-SUMPRODUCT((D1:H1-C1:G1)*(C3:G3+D3:H3)/2)</f>
        <v>77.879927234087958</v>
      </c>
      <c r="K3" s="18" cm="1">
        <f t="array" ref="K3">-SUMPRODUCT((D1:I1-C1:H1)*(C3:H3+D3:I3)/2)</f>
        <v>80.583519176924838</v>
      </c>
      <c r="L3" s="68" t="str">
        <f>"    "&amp;_xlfn.TEXTJOIN(", ",TRUE,C3:I3)&amp;","</f>
        <v xml:space="preserve">    93.1013647753585, 91.3266637254648, 89.7225610371485, 83.857204647099, 76.2429490451186, 60.4027774173364, 47.7409002961387,</v>
      </c>
      <c r="M3" s="73" t="s">
        <v>6</v>
      </c>
      <c r="N3" s="75"/>
      <c r="O3" s="15">
        <v>3.4649270444699574</v>
      </c>
      <c r="P3" s="16">
        <v>4.4611797621615326</v>
      </c>
      <c r="Q3" s="16">
        <v>4.7712065248821434</v>
      </c>
      <c r="R3" s="16">
        <v>5.3965689103010375</v>
      </c>
      <c r="S3" s="16">
        <v>7.9323757260741923</v>
      </c>
      <c r="T3" s="16">
        <v>9.9900413492801565</v>
      </c>
      <c r="U3" s="17">
        <v>9.7565309936118432</v>
      </c>
      <c r="V3" s="68" t="str">
        <f>"    "&amp;_xlfn.TEXTJOIN(", ",TRUE,O3:U3)&amp;","</f>
        <v xml:space="preserve">    3.46492704446996, 4.46117976216153, 4.77120652488214, 5.39656891030104, 7.93237572607419, 9.99004134928016, 9.75653099361184,</v>
      </c>
    </row>
    <row r="4" spans="1:22" ht="15.75" thickBot="1" x14ac:dyDescent="0.25">
      <c r="A4" s="73" t="s">
        <v>7</v>
      </c>
      <c r="B4" s="75"/>
      <c r="C4" s="15">
        <v>93.273358766079312</v>
      </c>
      <c r="D4" s="16">
        <v>91.615587793435367</v>
      </c>
      <c r="E4" s="16">
        <v>90.62053304959386</v>
      </c>
      <c r="F4" s="16">
        <v>86.59751381932368</v>
      </c>
      <c r="G4" s="16">
        <v>78.22435026831262</v>
      </c>
      <c r="H4" s="16">
        <v>60.854992978601317</v>
      </c>
      <c r="I4" s="17">
        <v>48.743933771053378</v>
      </c>
      <c r="J4" s="18" cm="1">
        <f t="array" ref="J4">-SUMPRODUCT((D1:H1-C1:G1)*(C4:G4+D4:H4)/2)</f>
        <v>78.807498478937248</v>
      </c>
      <c r="K4" s="18" cm="1">
        <f t="array" ref="K4">-SUMPRODUCT((D1:I1-C1:H1)*(C4:H4+D4:I4)/2)</f>
        <v>81.54747164767862</v>
      </c>
      <c r="L4" s="68" t="str">
        <f>"    "&amp;_xlfn.TEXTJOIN(", ",TRUE,C4:I4)&amp;","</f>
        <v xml:space="preserve">    93.2733587660793, 91.6155877934354, 90.6205330495939, 86.5975138193237, 78.2243502683126, 60.8549929786013, 48.7439337710534,</v>
      </c>
      <c r="M4" s="73" t="s">
        <v>7</v>
      </c>
      <c r="N4" s="75"/>
      <c r="O4" s="15">
        <v>3.4672469457762647</v>
      </c>
      <c r="P4" s="16">
        <v>4.1066373858138912</v>
      </c>
      <c r="Q4" s="16">
        <v>4.4433442831389707</v>
      </c>
      <c r="R4" s="16">
        <v>4.8572661690244194</v>
      </c>
      <c r="S4" s="16">
        <v>6.7334065011993722</v>
      </c>
      <c r="T4" s="16">
        <v>9.3055912140758643</v>
      </c>
      <c r="U4" s="17">
        <v>9.1853207799272329</v>
      </c>
      <c r="V4" s="68" t="str">
        <f t="shared" ref="V4:V16" si="0">"    "&amp;_xlfn.TEXTJOIN(", ",TRUE,O4:U4)&amp;","</f>
        <v xml:space="preserve">    3.46724694577626, 4.10663738581389, 4.44334428313897, 4.85726616902442, 6.73340650119937, 9.30559121407586, 9.18532077992723,</v>
      </c>
    </row>
    <row r="5" spans="1:22" ht="15.75" thickBot="1" x14ac:dyDescent="0.25">
      <c r="A5" s="73" t="s">
        <v>12</v>
      </c>
      <c r="B5" s="75"/>
      <c r="C5" s="84">
        <v>87.593900000000005</v>
      </c>
      <c r="D5" s="85">
        <v>87.663716814159287</v>
      </c>
      <c r="E5" s="85">
        <v>88.112094395280209</v>
      </c>
      <c r="F5" s="85">
        <v>87.970025692263789</v>
      </c>
      <c r="G5" s="85">
        <v>87.461708146264243</v>
      </c>
      <c r="H5" s="85">
        <v>75.251363189416281</v>
      </c>
      <c r="I5" s="86">
        <v>47.720683858280204</v>
      </c>
      <c r="J5" s="18" cm="1">
        <f t="array" ref="J5">-SUMPRODUCT((D1:H1-C1:G1)*(C5:G5+D5:H5)/2)</f>
        <v>78.394630770414679</v>
      </c>
      <c r="K5" s="18" cm="1">
        <f t="array" ref="K5">-SUMPRODUCT((D1:I1-C1:H1)*(C5:H5+D5:I5)/2)</f>
        <v>81.468931946607086</v>
      </c>
      <c r="L5" s="68" t="str">
        <f>"    "&amp;_xlfn.TEXTJOIN(", ",TRUE,C5:I5)&amp;","</f>
        <v xml:space="preserve">    87.5939, 87.6637168141593, 88.1120943952802, 87.9700256922638, 87.4617081462642, 75.2513631894163, 47.7206838582802,</v>
      </c>
      <c r="M5" s="73" t="s">
        <v>12</v>
      </c>
      <c r="N5" s="75"/>
      <c r="O5" s="87">
        <v>2.4529187882918819</v>
      </c>
      <c r="P5" s="85">
        <v>2.16276566139488</v>
      </c>
      <c r="Q5" s="85">
        <v>2.2973398804747198</v>
      </c>
      <c r="R5" s="85">
        <v>2.134165319654592</v>
      </c>
      <c r="S5" s="85">
        <v>2.3834878752826651</v>
      </c>
      <c r="T5" s="85">
        <v>3.787986046410059</v>
      </c>
      <c r="U5" s="86">
        <v>3.7419646549723868</v>
      </c>
      <c r="V5" s="68" t="str">
        <f t="shared" si="0"/>
        <v xml:space="preserve">    2.45291878829188, 2.16276566139488, 2.29733988047472, 2.13416531965459, 2.38348787528267, 3.78798604641006, 3.74196465497239,</v>
      </c>
    </row>
    <row r="6" spans="1:22" ht="15.75" thickBot="1" x14ac:dyDescent="0.25">
      <c r="A6" s="73" t="s">
        <v>21</v>
      </c>
      <c r="B6" s="74"/>
      <c r="C6" s="74"/>
      <c r="D6" s="74"/>
      <c r="E6" s="74"/>
      <c r="F6" s="74"/>
      <c r="G6" s="74"/>
      <c r="H6" s="74"/>
      <c r="I6" s="75"/>
      <c r="J6" s="18"/>
      <c r="K6" s="18"/>
      <c r="L6" s="68"/>
      <c r="M6" s="73" t="s">
        <v>21</v>
      </c>
      <c r="N6" s="74"/>
      <c r="O6" s="74"/>
      <c r="P6" s="74"/>
      <c r="Q6" s="74"/>
      <c r="R6" s="74"/>
      <c r="S6" s="74"/>
      <c r="T6" s="74"/>
      <c r="U6" s="75"/>
      <c r="V6" s="68"/>
    </row>
    <row r="7" spans="1:22" ht="15.75" customHeight="1" thickBot="1" x14ac:dyDescent="0.25">
      <c r="A7" s="21" t="s">
        <v>13</v>
      </c>
      <c r="B7" s="19" t="s">
        <v>8</v>
      </c>
      <c r="C7" s="32"/>
      <c r="D7" s="33"/>
      <c r="E7" s="33"/>
      <c r="F7" s="33"/>
      <c r="G7" s="33"/>
      <c r="H7" s="33"/>
      <c r="I7" s="34"/>
      <c r="J7" s="18" cm="1">
        <f t="array" ref="J7">-SUMPRODUCT((D1:H1-C1:G1)*(C7:G7+D7:H7)/2)</f>
        <v>0</v>
      </c>
      <c r="K7" s="18" cm="1">
        <f t="array" ref="K7">-SUMPRODUCT((D1:I1-C1:H1)*(C7:H7+D7:I7)/2)</f>
        <v>0</v>
      </c>
      <c r="L7" s="68" t="str">
        <f>"    "&amp;_xlfn.TEXTJOIN(", ",TRUE,C7:I7)&amp;","</f>
        <v xml:space="preserve">    ,</v>
      </c>
      <c r="M7" s="21" t="s">
        <v>13</v>
      </c>
      <c r="N7" s="19" t="s">
        <v>8</v>
      </c>
      <c r="O7" s="32"/>
      <c r="P7" s="33"/>
      <c r="Q7" s="33"/>
      <c r="R7" s="33"/>
      <c r="S7" s="33"/>
      <c r="T7" s="33"/>
      <c r="U7" s="34"/>
      <c r="V7" s="68" t="str">
        <f t="shared" si="0"/>
        <v xml:space="preserve">    ,</v>
      </c>
    </row>
    <row r="8" spans="1:22" ht="15.75" customHeight="1" thickBot="1" x14ac:dyDescent="0.25">
      <c r="A8" s="21" t="s">
        <v>14</v>
      </c>
      <c r="B8" s="19" t="s">
        <v>8</v>
      </c>
      <c r="C8" s="35"/>
      <c r="D8" s="36"/>
      <c r="E8" s="36"/>
      <c r="F8" s="36"/>
      <c r="G8" s="36"/>
      <c r="H8" s="36"/>
      <c r="I8" s="37"/>
      <c r="J8" s="18" cm="1">
        <f t="array" ref="J8">-SUMPRODUCT((D1:H1-C1:G1)*(C8:G8+D8:H8)/2)</f>
        <v>0</v>
      </c>
      <c r="K8" s="18" cm="1">
        <f t="array" ref="K8">-SUMPRODUCT((D1:I1-C1:H1)*(C8:H8+D8:I8)/2)</f>
        <v>0</v>
      </c>
      <c r="L8" s="68" t="str">
        <f>"    "&amp;_xlfn.TEXTJOIN(", ",TRUE,C8:I8)&amp;","</f>
        <v xml:space="preserve">    ,</v>
      </c>
      <c r="M8" s="21" t="s">
        <v>14</v>
      </c>
      <c r="N8" s="19" t="s">
        <v>8</v>
      </c>
      <c r="O8" s="35"/>
      <c r="P8" s="36"/>
      <c r="Q8" s="36"/>
      <c r="R8" s="36"/>
      <c r="S8" s="36"/>
      <c r="T8" s="36"/>
      <c r="U8" s="37"/>
      <c r="V8" s="68" t="str">
        <f t="shared" si="0"/>
        <v xml:space="preserve">    ,</v>
      </c>
    </row>
    <row r="9" spans="1:22" ht="15.75" customHeight="1" thickBot="1" x14ac:dyDescent="0.25">
      <c r="A9" s="21" t="s">
        <v>15</v>
      </c>
      <c r="B9" s="19" t="s">
        <v>8</v>
      </c>
      <c r="C9" s="35"/>
      <c r="D9" s="36"/>
      <c r="E9" s="36"/>
      <c r="F9" s="36"/>
      <c r="G9" s="36"/>
      <c r="H9" s="36"/>
      <c r="I9" s="37"/>
      <c r="J9" s="18" cm="1">
        <f t="array" ref="J9">-SUMPRODUCT((D1:H1-C1:G1)*(C9:G9+D9:H9)/2)</f>
        <v>0</v>
      </c>
      <c r="K9" s="18" cm="1">
        <f t="array" ref="K9">-SUMPRODUCT((D1:I1-C1:H1)*(C9:H9+D9:I9)/2)</f>
        <v>0</v>
      </c>
      <c r="L9" s="68" t="str">
        <f>"    "&amp;_xlfn.TEXTJOIN(", ",TRUE,C9:I9)&amp;","</f>
        <v xml:space="preserve">    ,</v>
      </c>
      <c r="M9" s="21" t="s">
        <v>15</v>
      </c>
      <c r="N9" s="19" t="s">
        <v>8</v>
      </c>
      <c r="O9" s="35"/>
      <c r="P9" s="36"/>
      <c r="Q9" s="36"/>
      <c r="R9" s="36"/>
      <c r="S9" s="36"/>
      <c r="T9" s="36"/>
      <c r="U9" s="37"/>
      <c r="V9" s="68" t="str">
        <f t="shared" si="0"/>
        <v xml:space="preserve">    ,</v>
      </c>
    </row>
    <row r="10" spans="1:22" ht="15.75" customHeight="1" thickBot="1" x14ac:dyDescent="0.25">
      <c r="A10" s="21" t="s">
        <v>16</v>
      </c>
      <c r="B10" s="19" t="s">
        <v>8</v>
      </c>
      <c r="C10" s="35"/>
      <c r="D10" s="36"/>
      <c r="E10" s="36"/>
      <c r="F10" s="36"/>
      <c r="G10" s="36"/>
      <c r="H10" s="36"/>
      <c r="I10" s="37"/>
      <c r="J10" s="18" cm="1">
        <f t="array" ref="J10">-SUMPRODUCT((D1:H1-C1:G1)*(C10:G10+D10:H10)/2)</f>
        <v>0</v>
      </c>
      <c r="K10" s="18" cm="1">
        <f t="array" ref="K10">-SUMPRODUCT((D1:I1-C1:H1)*(C10:H10+D10:I10)/2)</f>
        <v>0</v>
      </c>
      <c r="L10" s="68" t="str">
        <f>"    "&amp;_xlfn.TEXTJOIN(", ",TRUE,C10:I10)&amp;","</f>
        <v xml:space="preserve">    ,</v>
      </c>
      <c r="M10" s="21" t="s">
        <v>16</v>
      </c>
      <c r="N10" s="19" t="s">
        <v>8</v>
      </c>
      <c r="O10" s="35"/>
      <c r="P10" s="36"/>
      <c r="Q10" s="36"/>
      <c r="R10" s="36"/>
      <c r="S10" s="36"/>
      <c r="T10" s="36"/>
      <c r="U10" s="37"/>
      <c r="V10" s="68" t="str">
        <f t="shared" si="0"/>
        <v xml:space="preserve">    ,</v>
      </c>
    </row>
    <row r="11" spans="1:22" ht="15.75" customHeight="1" thickBot="1" x14ac:dyDescent="0.25">
      <c r="A11" s="4" t="s">
        <v>17</v>
      </c>
      <c r="B11" s="19" t="s">
        <v>8</v>
      </c>
      <c r="C11" s="38"/>
      <c r="D11" s="39"/>
      <c r="E11" s="39"/>
      <c r="F11" s="39"/>
      <c r="G11" s="39"/>
      <c r="H11" s="39"/>
      <c r="I11" s="40"/>
      <c r="J11" s="18" cm="1">
        <f t="array" ref="J11">-SUMPRODUCT((D1:H1-C1:G1)*(C11:G11+D11:H11)/2)</f>
        <v>0</v>
      </c>
      <c r="K11" s="18" cm="1">
        <f t="array" ref="K11">-SUMPRODUCT((D1:I1-C1:H1)*(C11:H11+D11:I11)/2)</f>
        <v>0</v>
      </c>
      <c r="L11" s="68" t="str">
        <f>"    "&amp;_xlfn.TEXTJOIN(", ",TRUE,C11:I11)&amp;","</f>
        <v xml:space="preserve">    ,</v>
      </c>
      <c r="M11" s="4" t="s">
        <v>17</v>
      </c>
      <c r="N11" s="19" t="s">
        <v>8</v>
      </c>
      <c r="O11" s="38"/>
      <c r="P11" s="39"/>
      <c r="Q11" s="39"/>
      <c r="R11" s="39"/>
      <c r="S11" s="39"/>
      <c r="T11" s="39"/>
      <c r="U11" s="40"/>
      <c r="V11" s="68" t="str">
        <f t="shared" si="0"/>
        <v xml:space="preserve">    ,</v>
      </c>
    </row>
    <row r="12" spans="1:22" ht="15.75" customHeight="1" thickBot="1" x14ac:dyDescent="0.25">
      <c r="A12" s="73" t="s">
        <v>22</v>
      </c>
      <c r="B12" s="74"/>
      <c r="C12" s="76"/>
      <c r="D12" s="76"/>
      <c r="E12" s="76"/>
      <c r="F12" s="76"/>
      <c r="G12" s="76"/>
      <c r="H12" s="76"/>
      <c r="I12" s="77"/>
      <c r="J12" s="18"/>
      <c r="K12" s="18"/>
      <c r="L12" s="68"/>
      <c r="M12" s="73" t="s">
        <v>22</v>
      </c>
      <c r="N12" s="74"/>
      <c r="O12" s="76"/>
      <c r="P12" s="76"/>
      <c r="Q12" s="76"/>
      <c r="R12" s="76"/>
      <c r="S12" s="76"/>
      <c r="T12" s="76"/>
      <c r="U12" s="77"/>
      <c r="V12" s="68"/>
    </row>
    <row r="13" spans="1:22" ht="15.75" customHeight="1" thickBot="1" x14ac:dyDescent="0.25">
      <c r="A13" s="73" t="s">
        <v>9</v>
      </c>
      <c r="B13" s="75"/>
      <c r="C13" s="50"/>
      <c r="D13" s="51"/>
      <c r="E13" s="51"/>
      <c r="F13" s="51"/>
      <c r="G13" s="51"/>
      <c r="H13" s="51"/>
      <c r="I13" s="52"/>
      <c r="J13" s="18" cm="1">
        <f t="array" ref="J13">-SUMPRODUCT((D1:H1-C1:G1)*(C13:G13+D13:H13)/2)</f>
        <v>0</v>
      </c>
      <c r="K13" s="18" cm="1">
        <f t="array" ref="K13">-SUMPRODUCT((D1:I1-C1:H1)*(C13:H13+D13:I13)/2)</f>
        <v>0</v>
      </c>
      <c r="L13" s="68" t="str">
        <f>"    "&amp;_xlfn.TEXTJOIN(", ",TRUE,C13:I13)&amp;","</f>
        <v xml:space="preserve">    ,</v>
      </c>
      <c r="M13" s="73" t="s">
        <v>9</v>
      </c>
      <c r="N13" s="75"/>
      <c r="O13" s="50"/>
      <c r="P13" s="51"/>
      <c r="Q13" s="51"/>
      <c r="R13" s="51"/>
      <c r="S13" s="51"/>
      <c r="T13" s="51"/>
      <c r="U13" s="52"/>
      <c r="V13" s="68" t="str">
        <f t="shared" si="0"/>
        <v xml:space="preserve">    ,</v>
      </c>
    </row>
    <row r="14" spans="1:22" ht="15.75" customHeight="1" thickBot="1" x14ac:dyDescent="0.25">
      <c r="A14" s="78" t="s">
        <v>10</v>
      </c>
      <c r="B14" s="77"/>
      <c r="C14" s="53"/>
      <c r="D14" s="54"/>
      <c r="E14" s="54"/>
      <c r="F14" s="54"/>
      <c r="G14" s="54"/>
      <c r="H14" s="54"/>
      <c r="I14" s="55"/>
      <c r="J14" s="18" cm="1">
        <f t="array" ref="J14">-SUMPRODUCT((D1:H1-C1:G1)*(C14:G14+D14:H14)/2)</f>
        <v>0</v>
      </c>
      <c r="K14" s="18" cm="1">
        <f t="array" ref="K14">-SUMPRODUCT((D1:I1-C1:H1)*(C14:H14+D14:I14)/2)</f>
        <v>0</v>
      </c>
      <c r="L14" s="68" t="str">
        <f>"    "&amp;_xlfn.TEXTJOIN(", ",TRUE,C14:I14)&amp;","</f>
        <v xml:space="preserve">    ,</v>
      </c>
      <c r="M14" s="73" t="s">
        <v>10</v>
      </c>
      <c r="N14" s="75"/>
      <c r="O14" s="53"/>
      <c r="P14" s="54"/>
      <c r="Q14" s="54"/>
      <c r="R14" s="54"/>
      <c r="S14" s="54"/>
      <c r="T14" s="54"/>
      <c r="U14" s="55"/>
      <c r="V14" s="68" t="str">
        <f t="shared" si="0"/>
        <v xml:space="preserve">    ,</v>
      </c>
    </row>
    <row r="15" spans="1:22" ht="15.75" customHeight="1" thickBot="1" x14ac:dyDescent="0.25">
      <c r="A15" s="73" t="s">
        <v>18</v>
      </c>
      <c r="B15" s="75"/>
      <c r="C15" s="53"/>
      <c r="D15" s="54"/>
      <c r="E15" s="54"/>
      <c r="F15" s="54"/>
      <c r="G15" s="54"/>
      <c r="H15" s="54"/>
      <c r="I15" s="55"/>
      <c r="J15" s="18" cm="1">
        <f t="array" ref="J15">-SUMPRODUCT((D1:H1-C1:G1)*(C15:G15+D15:H15)/2)</f>
        <v>0</v>
      </c>
      <c r="K15" s="18" cm="1">
        <f t="array" ref="K15">-SUMPRODUCT((D1:I1-C1:H1)*(C15:H15+D15:I15)/2)</f>
        <v>0</v>
      </c>
      <c r="L15" s="68" t="str">
        <f>"    "&amp;_xlfn.TEXTJOIN(", ",TRUE,C15:I15)&amp;","</f>
        <v xml:space="preserve">    ,</v>
      </c>
      <c r="M15" s="73" t="s">
        <v>18</v>
      </c>
      <c r="N15" s="75"/>
      <c r="O15" s="53"/>
      <c r="P15" s="54"/>
      <c r="Q15" s="54"/>
      <c r="R15" s="54"/>
      <c r="S15" s="54"/>
      <c r="T15" s="54"/>
      <c r="U15" s="55"/>
      <c r="V15" s="68" t="str">
        <f t="shared" si="0"/>
        <v xml:space="preserve">    ,</v>
      </c>
    </row>
    <row r="16" spans="1:22" ht="15.75" customHeight="1" thickBot="1" x14ac:dyDescent="0.25">
      <c r="A16" s="73" t="s">
        <v>19</v>
      </c>
      <c r="B16" s="75"/>
      <c r="C16" s="56"/>
      <c r="D16" s="57"/>
      <c r="E16" s="57"/>
      <c r="F16" s="57"/>
      <c r="G16" s="57"/>
      <c r="H16" s="57"/>
      <c r="I16" s="58"/>
      <c r="J16" s="18" cm="1">
        <f t="array" ref="J16">-SUMPRODUCT((D1:H1-C1:G1)*(C16:G16+D16:H16)/2)</f>
        <v>0</v>
      </c>
      <c r="K16" s="18" cm="1">
        <f t="array" ref="K16">-SUMPRODUCT((D1:I1-C1:H1)*(C16:H16+D16:I16)/2)</f>
        <v>0</v>
      </c>
      <c r="L16" s="68" t="str">
        <f>"    "&amp;_xlfn.TEXTJOIN(", ",TRUE,C16:I16)&amp;","</f>
        <v xml:space="preserve">    ,</v>
      </c>
      <c r="M16" s="73" t="s">
        <v>19</v>
      </c>
      <c r="N16" s="75"/>
      <c r="O16" s="56"/>
      <c r="P16" s="57"/>
      <c r="Q16" s="57"/>
      <c r="R16" s="57"/>
      <c r="S16" s="57"/>
      <c r="T16" s="57"/>
      <c r="U16" s="58"/>
      <c r="V16" s="68" t="str">
        <f t="shared" si="0"/>
        <v xml:space="preserve">    ,</v>
      </c>
    </row>
    <row r="17" spans="1:22" ht="15" thickBo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69"/>
      <c r="M17" s="22"/>
      <c r="N17" s="22"/>
      <c r="O17" s="22"/>
      <c r="P17" s="22"/>
      <c r="Q17" s="22"/>
      <c r="R17" s="22"/>
      <c r="S17" s="22"/>
      <c r="T17" s="22"/>
      <c r="U17" s="22"/>
      <c r="V17" s="69"/>
    </row>
    <row r="18" spans="1:22" ht="15.75" thickBot="1" x14ac:dyDescent="0.25">
      <c r="A18" s="6" t="s">
        <v>4</v>
      </c>
      <c r="B18" s="7" t="s">
        <v>1</v>
      </c>
      <c r="C18" s="8">
        <v>1</v>
      </c>
      <c r="D18" s="8">
        <v>0.75</v>
      </c>
      <c r="E18" s="8">
        <v>0.5</v>
      </c>
      <c r="F18" s="8">
        <v>0.3</v>
      </c>
      <c r="G18" s="8">
        <v>0.2</v>
      </c>
      <c r="H18" s="8">
        <v>0.1</v>
      </c>
      <c r="I18" s="7">
        <v>0.05</v>
      </c>
      <c r="J18" s="14"/>
      <c r="K18" s="14"/>
      <c r="L18" s="70"/>
      <c r="M18" s="6" t="s">
        <v>5</v>
      </c>
      <c r="N18" s="7" t="s">
        <v>1</v>
      </c>
      <c r="O18" s="9">
        <v>1</v>
      </c>
      <c r="P18" s="9">
        <v>0.75</v>
      </c>
      <c r="Q18" s="9">
        <v>0.5</v>
      </c>
      <c r="R18" s="9">
        <v>0.3</v>
      </c>
      <c r="S18" s="9">
        <v>0.2</v>
      </c>
      <c r="T18" s="9">
        <v>0.1</v>
      </c>
      <c r="U18" s="10">
        <v>0.05</v>
      </c>
      <c r="V18" s="70"/>
    </row>
    <row r="19" spans="1:22" ht="15.75" thickBot="1" x14ac:dyDescent="0.25">
      <c r="A19" s="79" t="s">
        <v>20</v>
      </c>
      <c r="B19" s="80"/>
      <c r="C19" s="80"/>
      <c r="D19" s="80"/>
      <c r="E19" s="80"/>
      <c r="F19" s="80"/>
      <c r="G19" s="80"/>
      <c r="H19" s="80"/>
      <c r="I19" s="81"/>
      <c r="J19" s="14"/>
      <c r="K19" s="14"/>
      <c r="L19" s="70"/>
      <c r="M19" s="79" t="s">
        <v>20</v>
      </c>
      <c r="N19" s="80"/>
      <c r="O19" s="80"/>
      <c r="P19" s="80"/>
      <c r="Q19" s="80"/>
      <c r="R19" s="80"/>
      <c r="S19" s="80"/>
      <c r="T19" s="80"/>
      <c r="U19" s="81"/>
      <c r="V19" s="70"/>
    </row>
    <row r="20" spans="1:22" ht="15.75" thickBot="1" x14ac:dyDescent="0.25">
      <c r="A20" s="79" t="s">
        <v>6</v>
      </c>
      <c r="B20" s="81"/>
      <c r="C20" s="24">
        <v>92.567111769713335</v>
      </c>
      <c r="D20" s="24">
        <v>90.835858608343599</v>
      </c>
      <c r="E20" s="24">
        <v>89.217505339533233</v>
      </c>
      <c r="F20" s="24">
        <v>83.237245964288078</v>
      </c>
      <c r="G20" s="24">
        <v>75.380430844191011</v>
      </c>
      <c r="H20" s="24">
        <v>58.994367187597383</v>
      </c>
      <c r="I20" s="25">
        <v>43.622535641382179</v>
      </c>
      <c r="J20" s="23"/>
      <c r="K20" s="23"/>
      <c r="L20" s="70" t="str">
        <f>"    "&amp;_xlfn.TEXTJOIN(", ",TRUE,C20:I20)&amp;","</f>
        <v xml:space="preserve">    92.5671117697133, 90.8358586083436, 89.2175053395332, 83.2372459642881, 75.380430844191, 58.9943671875974, 43.6225356413822,</v>
      </c>
      <c r="M20" s="79" t="s">
        <v>2</v>
      </c>
      <c r="N20" s="81"/>
      <c r="O20" s="26">
        <v>3.88093621561358</v>
      </c>
      <c r="P20" s="24">
        <v>4.8164746829677396</v>
      </c>
      <c r="Q20" s="24">
        <v>5.2250608386616522</v>
      </c>
      <c r="R20" s="24">
        <v>5.6675721086724113</v>
      </c>
      <c r="S20" s="24">
        <v>8.3263283482936075</v>
      </c>
      <c r="T20" s="24">
        <v>10.49020927094638</v>
      </c>
      <c r="U20" s="25">
        <v>11.060437347759546</v>
      </c>
      <c r="V20" s="70" t="str">
        <f>"    "&amp;_xlfn.TEXTJOIN(", ",TRUE,O20:U20)&amp;","</f>
        <v xml:space="preserve">    3.88093621561358, 4.81647468296774, 5.22506083866165, 5.66757210867241, 8.32632834829361, 10.4902092709464, 11.0604373477595,</v>
      </c>
    </row>
    <row r="21" spans="1:22" ht="15.75" thickBot="1" x14ac:dyDescent="0.25">
      <c r="A21" s="79" t="s">
        <v>7</v>
      </c>
      <c r="B21" s="81"/>
      <c r="C21" s="24">
        <v>92.866950218042462</v>
      </c>
      <c r="D21" s="24">
        <v>91.242690764745561</v>
      </c>
      <c r="E21" s="24">
        <v>90.137053227698445</v>
      </c>
      <c r="F21" s="24">
        <v>86.080152926613408</v>
      </c>
      <c r="G21" s="24">
        <v>77.410217255196784</v>
      </c>
      <c r="H21" s="24">
        <v>59.676194764980139</v>
      </c>
      <c r="I21" s="25">
        <v>46.395490419404197</v>
      </c>
      <c r="J21" s="23"/>
      <c r="K21" s="23"/>
      <c r="L21" s="70" t="str">
        <f>"    "&amp;_xlfn.TEXTJOIN(", ",TRUE,C21:I21)&amp;","</f>
        <v xml:space="preserve">    92.8669502180425, 91.2426907647456, 90.1370532276984, 86.0801529266134, 77.4102172551968, 59.6761947649801, 46.3954904194042,</v>
      </c>
      <c r="M21" s="79" t="s">
        <v>7</v>
      </c>
      <c r="N21" s="81"/>
      <c r="O21" s="24">
        <v>3.8319643020864191</v>
      </c>
      <c r="P21" s="24">
        <v>4.3603246705255447</v>
      </c>
      <c r="Q21" s="24">
        <v>4.7987735191879262</v>
      </c>
      <c r="R21" s="24">
        <v>5.1262965367330251</v>
      </c>
      <c r="S21" s="24">
        <v>7.087258799823358</v>
      </c>
      <c r="T21" s="24">
        <v>9.7457736576346736</v>
      </c>
      <c r="U21" s="25">
        <v>10.021578856839133</v>
      </c>
      <c r="V21" s="70" t="str">
        <f t="shared" ref="V21:V33" si="1">"    "&amp;_xlfn.TEXTJOIN(", ",TRUE,O21:U21)&amp;","</f>
        <v xml:space="preserve">    3.83196430208642, 4.36032467052554, 4.79877351918793, 5.12629653673303, 7.08725879982336, 9.74577365763467, 10.0215788568391,</v>
      </c>
    </row>
    <row r="22" spans="1:22" ht="15.75" thickBot="1" x14ac:dyDescent="0.25">
      <c r="A22" s="79" t="s">
        <v>12</v>
      </c>
      <c r="B22" s="81"/>
      <c r="C22" s="29">
        <v>87.268396410214976</v>
      </c>
      <c r="D22" s="30">
        <v>87.256428398686779</v>
      </c>
      <c r="E22" s="30">
        <v>87.822106304170404</v>
      </c>
      <c r="F22" s="30">
        <v>87.68072644235157</v>
      </c>
      <c r="G22" s="30">
        <v>87.144879367185226</v>
      </c>
      <c r="H22" s="30">
        <v>74.976567886515753</v>
      </c>
      <c r="I22" s="31">
        <v>46.41754739488244</v>
      </c>
      <c r="J22" s="23"/>
      <c r="K22" s="23"/>
      <c r="L22" s="70" t="str">
        <f t="shared" ref="L22:L28" si="2">"    "&amp;_xlfn.TEXTJOIN(", ",TRUE,C22:I22)&amp;","</f>
        <v xml:space="preserve">    87.268396410215, 87.2564283986868, 87.8221063041704, 87.6807264423516, 87.1448793671852, 74.9765678865158, 46.4175473948824,</v>
      </c>
      <c r="M22" s="79" t="s">
        <v>12</v>
      </c>
      <c r="N22" s="81"/>
      <c r="O22" s="29">
        <v>2.610595868561878</v>
      </c>
      <c r="P22" s="30">
        <v>2.3209805270224559</v>
      </c>
      <c r="Q22" s="30">
        <v>2.4426244152699921</v>
      </c>
      <c r="R22" s="30">
        <v>2.2821255442986761</v>
      </c>
      <c r="S22" s="30">
        <v>2.523131741400912</v>
      </c>
      <c r="T22" s="30">
        <v>3.7626100419371111</v>
      </c>
      <c r="U22" s="31">
        <v>4.1161081119796732</v>
      </c>
      <c r="V22" s="70" t="str">
        <f t="shared" si="1"/>
        <v xml:space="preserve">    2.61059586856188, 2.32098052702246, 2.44262441526999, 2.28212554429868, 2.52313174140091, 3.76261004193711, 4.11610811197967,</v>
      </c>
    </row>
    <row r="23" spans="1:22" ht="15.75" thickBot="1" x14ac:dyDescent="0.25">
      <c r="A23" s="79" t="s">
        <v>21</v>
      </c>
      <c r="B23" s="80"/>
      <c r="C23" s="80"/>
      <c r="D23" s="80"/>
      <c r="E23" s="80"/>
      <c r="F23" s="80"/>
      <c r="G23" s="80"/>
      <c r="H23" s="80"/>
      <c r="I23" s="81"/>
      <c r="J23" s="23"/>
      <c r="K23" s="23"/>
      <c r="L23" s="70"/>
      <c r="M23" s="79" t="s">
        <v>21</v>
      </c>
      <c r="N23" s="80"/>
      <c r="O23" s="80"/>
      <c r="P23" s="80"/>
      <c r="Q23" s="80"/>
      <c r="R23" s="80"/>
      <c r="S23" s="80"/>
      <c r="T23" s="80"/>
      <c r="U23" s="81"/>
      <c r="V23" s="70"/>
    </row>
    <row r="24" spans="1:22" ht="15.75" thickBot="1" x14ac:dyDescent="0.25">
      <c r="A24" s="27" t="s">
        <v>13</v>
      </c>
      <c r="B24" s="20" t="s">
        <v>8</v>
      </c>
      <c r="C24" s="41"/>
      <c r="D24" s="42"/>
      <c r="E24" s="42"/>
      <c r="F24" s="42"/>
      <c r="G24" s="42"/>
      <c r="H24" s="42"/>
      <c r="I24" s="43"/>
      <c r="J24" s="23"/>
      <c r="K24" s="23"/>
      <c r="L24" s="70" t="str">
        <f t="shared" si="2"/>
        <v xml:space="preserve">    ,</v>
      </c>
      <c r="M24" s="27" t="s">
        <v>13</v>
      </c>
      <c r="N24" s="20" t="s">
        <v>8</v>
      </c>
      <c r="O24" s="41"/>
      <c r="P24" s="42"/>
      <c r="Q24" s="42"/>
      <c r="R24" s="42"/>
      <c r="S24" s="42"/>
      <c r="T24" s="42"/>
      <c r="U24" s="43"/>
      <c r="V24" s="70" t="str">
        <f t="shared" si="1"/>
        <v xml:space="preserve">    ,</v>
      </c>
    </row>
    <row r="25" spans="1:22" ht="15.75" thickBot="1" x14ac:dyDescent="0.25">
      <c r="A25" s="27" t="s">
        <v>14</v>
      </c>
      <c r="B25" s="20" t="s">
        <v>8</v>
      </c>
      <c r="C25" s="44"/>
      <c r="D25" s="45"/>
      <c r="E25" s="45"/>
      <c r="F25" s="45"/>
      <c r="G25" s="45"/>
      <c r="H25" s="45"/>
      <c r="I25" s="46"/>
      <c r="J25" s="23"/>
      <c r="K25" s="23"/>
      <c r="L25" s="70" t="str">
        <f t="shared" si="2"/>
        <v xml:space="preserve">    ,</v>
      </c>
      <c r="M25" s="27" t="s">
        <v>14</v>
      </c>
      <c r="N25" s="20" t="s">
        <v>8</v>
      </c>
      <c r="O25" s="44"/>
      <c r="P25" s="45"/>
      <c r="Q25" s="45"/>
      <c r="R25" s="45"/>
      <c r="S25" s="45"/>
      <c r="T25" s="45"/>
      <c r="U25" s="46"/>
      <c r="V25" s="70" t="str">
        <f t="shared" si="1"/>
        <v xml:space="preserve">    ,</v>
      </c>
    </row>
    <row r="26" spans="1:22" ht="15.75" thickBot="1" x14ac:dyDescent="0.25">
      <c r="A26" s="27" t="s">
        <v>15</v>
      </c>
      <c r="B26" s="20" t="s">
        <v>8</v>
      </c>
      <c r="C26" s="44"/>
      <c r="D26" s="45"/>
      <c r="E26" s="45"/>
      <c r="F26" s="45"/>
      <c r="G26" s="45"/>
      <c r="H26" s="45"/>
      <c r="I26" s="46"/>
      <c r="J26" s="23"/>
      <c r="K26" s="23"/>
      <c r="L26" s="70" t="str">
        <f t="shared" si="2"/>
        <v xml:space="preserve">    ,</v>
      </c>
      <c r="M26" s="27" t="s">
        <v>15</v>
      </c>
      <c r="N26" s="20" t="s">
        <v>8</v>
      </c>
      <c r="O26" s="44"/>
      <c r="P26" s="45"/>
      <c r="Q26" s="45"/>
      <c r="R26" s="45"/>
      <c r="S26" s="45"/>
      <c r="T26" s="45"/>
      <c r="U26" s="46"/>
      <c r="V26" s="70" t="str">
        <f t="shared" si="1"/>
        <v xml:space="preserve">    ,</v>
      </c>
    </row>
    <row r="27" spans="1:22" ht="15.75" thickBot="1" x14ac:dyDescent="0.25">
      <c r="A27" s="27" t="s">
        <v>16</v>
      </c>
      <c r="B27" s="20" t="s">
        <v>8</v>
      </c>
      <c r="C27" s="44"/>
      <c r="D27" s="45"/>
      <c r="E27" s="45"/>
      <c r="F27" s="45"/>
      <c r="G27" s="45"/>
      <c r="H27" s="45"/>
      <c r="I27" s="46"/>
      <c r="J27" s="23"/>
      <c r="K27" s="23"/>
      <c r="L27" s="70" t="str">
        <f t="shared" si="2"/>
        <v xml:space="preserve">    ,</v>
      </c>
      <c r="M27" s="27" t="s">
        <v>16</v>
      </c>
      <c r="N27" s="20" t="s">
        <v>8</v>
      </c>
      <c r="O27" s="44"/>
      <c r="P27" s="45"/>
      <c r="Q27" s="45"/>
      <c r="R27" s="45"/>
      <c r="S27" s="45"/>
      <c r="T27" s="45"/>
      <c r="U27" s="46"/>
      <c r="V27" s="70" t="str">
        <f t="shared" si="1"/>
        <v xml:space="preserve">    ,</v>
      </c>
    </row>
    <row r="28" spans="1:22" ht="15.75" thickBot="1" x14ac:dyDescent="0.25">
      <c r="A28" s="28" t="s">
        <v>17</v>
      </c>
      <c r="B28" s="20" t="s">
        <v>8</v>
      </c>
      <c r="C28" s="47"/>
      <c r="D28" s="48"/>
      <c r="E28" s="48"/>
      <c r="F28" s="48"/>
      <c r="G28" s="48"/>
      <c r="H28" s="48"/>
      <c r="I28" s="49"/>
      <c r="J28" s="23"/>
      <c r="K28" s="23"/>
      <c r="L28" s="70" t="str">
        <f t="shared" si="2"/>
        <v xml:space="preserve">    ,</v>
      </c>
      <c r="M28" s="28" t="s">
        <v>17</v>
      </c>
      <c r="N28" s="20" t="s">
        <v>8</v>
      </c>
      <c r="O28" s="47"/>
      <c r="P28" s="48"/>
      <c r="Q28" s="48"/>
      <c r="R28" s="48"/>
      <c r="S28" s="48"/>
      <c r="T28" s="48"/>
      <c r="U28" s="49"/>
      <c r="V28" s="70" t="str">
        <f t="shared" si="1"/>
        <v xml:space="preserve">    ,</v>
      </c>
    </row>
    <row r="29" spans="1:22" ht="15.75" thickBot="1" x14ac:dyDescent="0.25">
      <c r="A29" s="79" t="s">
        <v>22</v>
      </c>
      <c r="B29" s="80"/>
      <c r="C29" s="82"/>
      <c r="D29" s="82"/>
      <c r="E29" s="82"/>
      <c r="F29" s="82"/>
      <c r="G29" s="82"/>
      <c r="H29" s="82"/>
      <c r="I29" s="83"/>
      <c r="J29" s="23"/>
      <c r="K29" s="23"/>
      <c r="L29" s="70"/>
      <c r="M29" s="79" t="s">
        <v>22</v>
      </c>
      <c r="N29" s="80"/>
      <c r="O29" s="82"/>
      <c r="P29" s="82"/>
      <c r="Q29" s="82"/>
      <c r="R29" s="82"/>
      <c r="S29" s="82"/>
      <c r="T29" s="82"/>
      <c r="U29" s="83"/>
      <c r="V29" s="70"/>
    </row>
    <row r="30" spans="1:22" ht="14.25" customHeight="1" thickBot="1" x14ac:dyDescent="0.25">
      <c r="A30" s="79" t="s">
        <v>9</v>
      </c>
      <c r="B30" s="81"/>
      <c r="C30" s="59"/>
      <c r="D30" s="60"/>
      <c r="E30" s="60"/>
      <c r="F30" s="60"/>
      <c r="G30" s="60"/>
      <c r="H30" s="60"/>
      <c r="I30" s="61"/>
      <c r="J30" s="23"/>
      <c r="K30" s="23"/>
      <c r="L30" s="70" t="str">
        <f t="shared" ref="L30:L33" si="3">"    "&amp;_xlfn.TEXTJOIN(", ",TRUE,C30:I30)&amp;","</f>
        <v xml:space="preserve">    ,</v>
      </c>
      <c r="M30" s="79" t="s">
        <v>9</v>
      </c>
      <c r="N30" s="81"/>
      <c r="O30" s="59"/>
      <c r="P30" s="60"/>
      <c r="Q30" s="60"/>
      <c r="R30" s="60"/>
      <c r="S30" s="60"/>
      <c r="T30" s="60"/>
      <c r="U30" s="61"/>
      <c r="V30" s="70" t="str">
        <f t="shared" si="1"/>
        <v xml:space="preserve">    ,</v>
      </c>
    </row>
    <row r="31" spans="1:22" ht="15.75" thickBot="1" x14ac:dyDescent="0.25">
      <c r="A31" s="79" t="s">
        <v>10</v>
      </c>
      <c r="B31" s="81"/>
      <c r="C31" s="62"/>
      <c r="D31" s="63"/>
      <c r="E31" s="63"/>
      <c r="F31" s="63"/>
      <c r="G31" s="63"/>
      <c r="H31" s="63"/>
      <c r="I31" s="64"/>
      <c r="J31" s="23"/>
      <c r="K31" s="23"/>
      <c r="L31" s="70" t="str">
        <f t="shared" si="3"/>
        <v xml:space="preserve">    ,</v>
      </c>
      <c r="M31" s="79" t="s">
        <v>10</v>
      </c>
      <c r="N31" s="81"/>
      <c r="O31" s="62"/>
      <c r="P31" s="63"/>
      <c r="Q31" s="63"/>
      <c r="R31" s="63"/>
      <c r="S31" s="63"/>
      <c r="T31" s="63"/>
      <c r="U31" s="64"/>
      <c r="V31" s="70" t="str">
        <f t="shared" si="1"/>
        <v xml:space="preserve">    ,</v>
      </c>
    </row>
    <row r="32" spans="1:22" ht="14.25" customHeight="1" thickBot="1" x14ac:dyDescent="0.25">
      <c r="A32" s="79" t="s">
        <v>18</v>
      </c>
      <c r="B32" s="81"/>
      <c r="C32" s="62"/>
      <c r="D32" s="63"/>
      <c r="E32" s="63"/>
      <c r="F32" s="63"/>
      <c r="G32" s="63"/>
      <c r="H32" s="63"/>
      <c r="I32" s="64"/>
      <c r="J32" s="23"/>
      <c r="K32" s="23"/>
      <c r="L32" s="70" t="str">
        <f t="shared" si="3"/>
        <v xml:space="preserve">    ,</v>
      </c>
      <c r="M32" s="79" t="s">
        <v>18</v>
      </c>
      <c r="N32" s="81"/>
      <c r="O32" s="62"/>
      <c r="P32" s="63"/>
      <c r="Q32" s="63"/>
      <c r="R32" s="63"/>
      <c r="S32" s="63"/>
      <c r="T32" s="63"/>
      <c r="U32" s="64"/>
      <c r="V32" s="70" t="str">
        <f t="shared" si="1"/>
        <v xml:space="preserve">    ,</v>
      </c>
    </row>
    <row r="33" spans="1:22" ht="15.75" thickBot="1" x14ac:dyDescent="0.25">
      <c r="A33" s="79" t="s">
        <v>19</v>
      </c>
      <c r="B33" s="81"/>
      <c r="C33" s="65"/>
      <c r="D33" s="66"/>
      <c r="E33" s="66"/>
      <c r="F33" s="66"/>
      <c r="G33" s="66"/>
      <c r="H33" s="66"/>
      <c r="I33" s="67"/>
      <c r="J33" s="23"/>
      <c r="K33" s="23"/>
      <c r="L33" s="70" t="str">
        <f t="shared" si="3"/>
        <v xml:space="preserve">    ,</v>
      </c>
      <c r="M33" s="79" t="s">
        <v>19</v>
      </c>
      <c r="N33" s="81"/>
      <c r="O33" s="65"/>
      <c r="P33" s="66"/>
      <c r="Q33" s="66"/>
      <c r="R33" s="66"/>
      <c r="S33" s="66"/>
      <c r="T33" s="66"/>
      <c r="U33" s="67"/>
      <c r="V33" s="70" t="str">
        <f t="shared" si="1"/>
        <v xml:space="preserve">    ,</v>
      </c>
    </row>
    <row r="35" spans="1:22" ht="15" x14ac:dyDescent="0.2">
      <c r="J35" s="2"/>
      <c r="K35" s="2"/>
      <c r="L35" s="71"/>
      <c r="M35" s="2"/>
      <c r="N35" s="2"/>
      <c r="O35" s="2"/>
      <c r="P35" s="2"/>
      <c r="Q35" s="2"/>
      <c r="R35" s="2"/>
      <c r="S35" s="2"/>
      <c r="T35" s="2"/>
      <c r="U35" s="2"/>
    </row>
    <row r="36" spans="1:22" ht="15" x14ac:dyDescent="0.2">
      <c r="J36" s="2"/>
      <c r="K36" s="2"/>
      <c r="L36" s="71"/>
      <c r="M36" s="2"/>
      <c r="N36" s="2"/>
      <c r="O36" s="2"/>
      <c r="P36" s="2"/>
      <c r="Q36" s="2"/>
      <c r="R36" s="2"/>
      <c r="S36" s="2"/>
      <c r="T36" s="2"/>
      <c r="U36" s="2"/>
    </row>
    <row r="37" spans="1:22" ht="15" x14ac:dyDescent="0.2">
      <c r="L37" s="71"/>
      <c r="M37" s="2"/>
      <c r="N37" s="2"/>
      <c r="O37" s="2"/>
      <c r="P37" s="2"/>
      <c r="Q37" s="2"/>
      <c r="R37" s="2"/>
      <c r="S37" s="2"/>
      <c r="T37" s="2"/>
      <c r="U37" s="2"/>
    </row>
    <row r="38" spans="1:22" ht="15" x14ac:dyDescent="0.2">
      <c r="L38" s="71"/>
      <c r="M38" s="2"/>
      <c r="N38" s="2"/>
      <c r="O38" s="2"/>
      <c r="P38" s="2"/>
      <c r="Q38" s="2"/>
      <c r="R38" s="2"/>
      <c r="S38" s="2"/>
      <c r="T38" s="2"/>
      <c r="U38" s="2"/>
    </row>
    <row r="39" spans="1:22" ht="15" x14ac:dyDescent="0.2">
      <c r="L39" s="71"/>
      <c r="M39" s="2"/>
      <c r="N39" s="2"/>
      <c r="O39" s="2"/>
      <c r="P39" s="2"/>
      <c r="Q39" s="2"/>
      <c r="R39" s="2"/>
      <c r="S39" s="2"/>
      <c r="T39" s="2"/>
      <c r="U39" s="2"/>
    </row>
    <row r="40" spans="1:22" ht="15" x14ac:dyDescent="0.2">
      <c r="L40" s="71"/>
      <c r="M40" s="2"/>
      <c r="N40" s="2"/>
      <c r="O40" s="2"/>
      <c r="P40" s="2"/>
      <c r="Q40" s="2"/>
      <c r="R40" s="2"/>
      <c r="S40" s="2"/>
      <c r="T40" s="2"/>
      <c r="U40" s="2"/>
    </row>
    <row r="41" spans="1:22" ht="15" x14ac:dyDescent="0.2">
      <c r="L41" s="71"/>
      <c r="M41" s="2"/>
      <c r="N41" s="2"/>
      <c r="O41" s="2"/>
      <c r="P41" s="2"/>
      <c r="Q41" s="2"/>
      <c r="R41" s="2"/>
      <c r="S41" s="2"/>
      <c r="T41" s="2"/>
      <c r="U41" s="2"/>
    </row>
    <row r="42" spans="1:22" ht="15" x14ac:dyDescent="0.2">
      <c r="M42" s="2"/>
      <c r="N42" s="2"/>
      <c r="O42" s="2"/>
      <c r="P42" s="2"/>
      <c r="Q42" s="2"/>
      <c r="R42" s="2"/>
      <c r="S42" s="2"/>
      <c r="T42" s="2"/>
      <c r="U42" s="2"/>
    </row>
    <row r="43" spans="1:22" ht="15" x14ac:dyDescent="0.2">
      <c r="E43" s="2"/>
      <c r="J43" s="2"/>
      <c r="M43" s="2"/>
      <c r="N43" s="2"/>
      <c r="O43" s="2"/>
      <c r="P43" s="2"/>
      <c r="Q43" s="2"/>
      <c r="R43" s="2"/>
      <c r="S43" s="2"/>
      <c r="T43" s="2"/>
      <c r="U43" s="2"/>
    </row>
    <row r="44" spans="1:22" ht="15" x14ac:dyDescent="0.2">
      <c r="E44" s="2"/>
      <c r="M44" s="2"/>
      <c r="N44" s="2"/>
      <c r="O44" s="2"/>
      <c r="P44" s="2"/>
      <c r="Q44" s="2"/>
      <c r="R44" s="2"/>
      <c r="S44" s="2"/>
      <c r="T44" s="2"/>
      <c r="U44" s="2"/>
    </row>
    <row r="45" spans="1:22" ht="15" x14ac:dyDescent="0.2">
      <c r="L45" s="71"/>
      <c r="M45" s="2"/>
      <c r="N45" s="2"/>
      <c r="O45" s="2"/>
      <c r="P45" s="2"/>
      <c r="Q45" s="2"/>
      <c r="R45" s="2"/>
      <c r="S45" s="2"/>
      <c r="T45" s="2"/>
      <c r="U45" s="2"/>
    </row>
  </sheetData>
  <mergeCells count="40">
    <mergeCell ref="M23:U23"/>
    <mergeCell ref="M6:U6"/>
    <mergeCell ref="A2:I2"/>
    <mergeCell ref="M2:U2"/>
    <mergeCell ref="A19:I19"/>
    <mergeCell ref="M19:U19"/>
    <mergeCell ref="A23:I23"/>
    <mergeCell ref="M13:N13"/>
    <mergeCell ref="M14:N14"/>
    <mergeCell ref="A21:B21"/>
    <mergeCell ref="M21:N21"/>
    <mergeCell ref="A22:B22"/>
    <mergeCell ref="M22:N22"/>
    <mergeCell ref="A15:B15"/>
    <mergeCell ref="A16:B16"/>
    <mergeCell ref="M15:N15"/>
    <mergeCell ref="A29:I29"/>
    <mergeCell ref="A32:B32"/>
    <mergeCell ref="A33:B33"/>
    <mergeCell ref="M29:U29"/>
    <mergeCell ref="M32:N32"/>
    <mergeCell ref="M33:N33"/>
    <mergeCell ref="A30:B30"/>
    <mergeCell ref="A31:B31"/>
    <mergeCell ref="M30:N30"/>
    <mergeCell ref="M31:N31"/>
    <mergeCell ref="M16:N16"/>
    <mergeCell ref="A3:B3"/>
    <mergeCell ref="M3:N3"/>
    <mergeCell ref="A20:B20"/>
    <mergeCell ref="M20:N20"/>
    <mergeCell ref="A4:B4"/>
    <mergeCell ref="M4:N4"/>
    <mergeCell ref="A13:B13"/>
    <mergeCell ref="A14:B14"/>
    <mergeCell ref="A12:I12"/>
    <mergeCell ref="A6:I6"/>
    <mergeCell ref="M12:U12"/>
    <mergeCell ref="A5:B5"/>
    <mergeCell ref="M5:N5"/>
  </mergeCells>
  <phoneticPr fontId="1" type="noConversion"/>
  <conditionalFormatting sqref="C3:I4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11 C3:I4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5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 C7:I11 C3:I4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K4 J6:K16"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4 J6:J16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J29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K4 J6:K16">
    <cfRule type="colorScale" priority="2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K6 C4:K4">
    <cfRule type="colorScale" priority="21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4:K29"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 K6:K16"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4:K29">
    <cfRule type="colorScale" priority="2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I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5:K5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:J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16">
    <cfRule type="colorScale" priority="2">
      <colorScale>
        <cfvo type="min"/>
        <cfvo type="max"/>
        <color rgb="FFF8696B"/>
        <color rgb="FFFCFCFF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nm_basis_F, nm_modifier_F</vt:lpstr>
      <vt:lpstr>nm_basis_T, nm_modifier_F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2026-04-30T07:11:06Z</dcterms:modified>
</cp:coreProperties>
</file>