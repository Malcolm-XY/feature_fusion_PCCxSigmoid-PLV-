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V-\"/>
    </mc:Choice>
  </mc:AlternateContent>
  <xr:revisionPtr revIDLastSave="0" documentId="13_ncr:1_{F7285D9D-D796-4277-8237-55A9898B12E4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8" l="1" a="1"/>
  <c r="K11" i="8" s="1"/>
  <c r="V33" i="8"/>
  <c r="L33" i="8"/>
  <c r="V32" i="8"/>
  <c r="L32" i="8"/>
  <c r="V31" i="8"/>
  <c r="L31" i="8"/>
  <c r="V30" i="8"/>
  <c r="L30" i="8"/>
  <c r="V28" i="8"/>
  <c r="L28" i="8"/>
  <c r="V27" i="8"/>
  <c r="L27" i="8"/>
  <c r="V26" i="8"/>
  <c r="L26" i="8"/>
  <c r="V25" i="8"/>
  <c r="L25" i="8"/>
  <c r="V24" i="8"/>
  <c r="L24" i="8"/>
  <c r="V22" i="8"/>
  <c r="L22" i="8"/>
  <c r="V21" i="8"/>
  <c r="L21" i="8"/>
  <c r="V20" i="8"/>
  <c r="L20" i="8"/>
  <c r="V16" i="8"/>
  <c r="L16" i="8"/>
  <c r="K16" i="8" a="1"/>
  <c r="K16" i="8" s="1"/>
  <c r="J16" i="8" a="1"/>
  <c r="J16" i="8" s="1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V11" i="8"/>
  <c r="L11" i="8"/>
  <c r="J11" i="8" a="1"/>
  <c r="J11" i="8" s="1"/>
  <c r="V10" i="8"/>
  <c r="L10" i="8"/>
  <c r="K10" i="8" a="1"/>
  <c r="K10" i="8" s="1"/>
  <c r="J10" i="8" a="1"/>
  <c r="J10" i="8" s="1"/>
  <c r="V9" i="8"/>
  <c r="L9" i="8"/>
  <c r="K9" i="8" a="1"/>
  <c r="K9" i="8" s="1"/>
  <c r="J9" i="8" a="1"/>
  <c r="J9" i="8" s="1"/>
  <c r="V8" i="8"/>
  <c r="L8" i="8"/>
  <c r="K8" i="8" a="1"/>
  <c r="K8" i="8" s="1"/>
  <c r="J8" i="8" a="1"/>
  <c r="J8" i="8" s="1"/>
  <c r="V7" i="8"/>
  <c r="L7" i="8"/>
  <c r="K7" i="8" a="1"/>
  <c r="K7" i="8" s="1"/>
  <c r="J7" i="8" a="1"/>
  <c r="J7" i="8" s="1"/>
  <c r="V5" i="8"/>
  <c r="L5" i="8"/>
  <c r="K5" i="8" a="1"/>
  <c r="K5" i="8" s="1"/>
  <c r="J5" i="8" a="1"/>
  <c r="J5" i="8" s="1"/>
  <c r="V4" i="8"/>
  <c r="L4" i="8"/>
  <c r="K4" i="8" a="1"/>
  <c r="K4" i="8" s="1"/>
  <c r="J4" i="8" a="1"/>
  <c r="J4" i="8" s="1"/>
  <c r="V3" i="8"/>
  <c r="L3" i="8"/>
  <c r="K3" i="8" a="1"/>
  <c r="K3" i="8" s="1"/>
  <c r="J3" i="8" a="1"/>
  <c r="J3" i="8" s="1"/>
  <c r="V16" i="5"/>
  <c r="L16" i="5"/>
  <c r="K16" i="5" a="1"/>
  <c r="K16" i="5" s="1"/>
  <c r="J16" i="5" a="1"/>
  <c r="J16" i="5" s="1"/>
  <c r="V15" i="5"/>
  <c r="L15" i="5"/>
  <c r="K15" i="5" a="1"/>
  <c r="K15" i="5" s="1"/>
  <c r="J15" i="5" a="1"/>
  <c r="J15" i="5" s="1"/>
  <c r="V14" i="5"/>
  <c r="L14" i="5"/>
  <c r="K14" i="5" a="1"/>
  <c r="K14" i="5" s="1"/>
  <c r="J14" i="5" a="1"/>
  <c r="J14" i="5" s="1"/>
  <c r="V13" i="5"/>
  <c r="L13" i="5"/>
  <c r="K13" i="5" a="1"/>
  <c r="K13" i="5" s="1"/>
  <c r="J13" i="5" a="1"/>
  <c r="J13" i="5" s="1"/>
  <c r="V33" i="5"/>
  <c r="L33" i="5"/>
  <c r="V32" i="5"/>
  <c r="L32" i="5"/>
  <c r="V31" i="5"/>
  <c r="L31" i="5"/>
  <c r="V30" i="5"/>
  <c r="L30" i="5"/>
  <c r="V4" i="5"/>
  <c r="L4" i="5"/>
  <c r="K4" i="5" a="1"/>
  <c r="K4" i="5" s="1"/>
  <c r="J4" i="5" a="1"/>
  <c r="J4" i="5" s="1"/>
  <c r="V28" i="5"/>
  <c r="V27" i="5"/>
  <c r="V26" i="5"/>
  <c r="V25" i="5"/>
  <c r="V24" i="5"/>
  <c r="V22" i="5"/>
  <c r="V21" i="5"/>
  <c r="V20" i="5"/>
  <c r="V11" i="5"/>
  <c r="V10" i="5"/>
  <c r="V9" i="5"/>
  <c r="V8" i="5"/>
  <c r="V7" i="5"/>
  <c r="V5" i="5"/>
  <c r="V3" i="5"/>
  <c r="L28" i="5"/>
  <c r="L27" i="5"/>
  <c r="L26" i="5"/>
  <c r="L25" i="5"/>
  <c r="L24" i="5"/>
  <c r="L22" i="5"/>
  <c r="L21" i="5"/>
  <c r="L20" i="5"/>
  <c r="L11" i="5"/>
  <c r="L10" i="5"/>
  <c r="L9" i="5"/>
  <c r="L8" i="5"/>
  <c r="L7" i="5"/>
  <c r="L5" i="5"/>
  <c r="L3" i="5"/>
  <c r="J5" i="5" a="1"/>
  <c r="J5" i="5" s="1"/>
  <c r="K5" i="5" a="1"/>
  <c r="K5" i="5" s="1"/>
  <c r="K7" i="5" a="1"/>
  <c r="K7" i="5" s="1"/>
  <c r="K10" i="5" a="1"/>
  <c r="K10" i="5" s="1"/>
  <c r="K9" i="5" a="1"/>
  <c r="K9" i="5" s="1"/>
  <c r="K8" i="5" a="1"/>
  <c r="K8" i="5" s="1"/>
  <c r="J10" i="5" a="1"/>
  <c r="J10" i="5" s="1"/>
  <c r="J9" i="5" a="1"/>
  <c r="J9" i="5" s="1"/>
  <c r="J8" i="5" a="1"/>
  <c r="J8" i="5" s="1"/>
  <c r="J7" i="5" a="1"/>
  <c r="J7" i="5" s="1"/>
  <c r="K11" i="5" a="1"/>
  <c r="K11" i="5" s="1"/>
  <c r="J11" i="5" a="1"/>
  <c r="J11" i="5" s="1"/>
  <c r="J3" i="5" a="1"/>
  <c r="J3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<sst xmlns="http://schemas.openxmlformats.org/spreadsheetml/2006/main" count="180" uniqueCount="23">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</sst>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1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13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2" borderId="0" xfId="0" applyFont="1" applyFill="1" applyBorder="1"/>
    <xf numFmtId="0" fontId="2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5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4"/>
    <col min="13" max="14" width="15" style="1" customWidth="1"/>
    <col min="15" max="21" width="9" style="1"/>
    <col min="22" max="22" width="9" style="74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0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0"/>
    </row>
    <row r="2" spans="1:22" ht="15.75" thickBot="1" x14ac:dyDescent="0.25">
      <c r="A2" s="78" t="s">
        <v>20</v>
      </c>
      <c r="B2" s="79"/>
      <c r="C2" s="79"/>
      <c r="D2" s="79"/>
      <c r="E2" s="79"/>
      <c r="F2" s="79"/>
      <c r="G2" s="79"/>
      <c r="H2" s="79"/>
      <c r="I2" s="80"/>
      <c r="J2" s="13"/>
      <c r="K2" s="13"/>
      <c r="L2" s="70"/>
      <c r="M2" s="78" t="s">
        <v>20</v>
      </c>
      <c r="N2" s="79"/>
      <c r="O2" s="79"/>
      <c r="P2" s="79"/>
      <c r="Q2" s="79"/>
      <c r="R2" s="79"/>
      <c r="S2" s="79"/>
      <c r="T2" s="79"/>
      <c r="U2" s="80"/>
      <c r="V2" s="70"/>
    </row>
    <row r="3" spans="1:22" ht="15.75" thickBot="1" x14ac:dyDescent="0.25">
      <c r="A3" s="78" t="s">
        <v>6</v>
      </c>
      <c r="B3" s="80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0" t="str">
        <f>"    "&amp;_xlfn.TEXTJOIN(", ",TRUE,C3:I3)&amp;","</f>
        <v xml:space="preserve">    93.1013647753585, 91.3266637254648, 89.7225610371485, 83.857204647099, 76.2429490451186, 60.4027774173364, 47.7409002961387,</v>
      </c>
      <c r="M3" s="78" t="s">
        <v>6</v>
      </c>
      <c r="N3" s="80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0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8" t="s">
        <v>7</v>
      </c>
      <c r="B4" s="80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0" t="str">
        <f>"    "&amp;_xlfn.TEXTJOIN(", ",TRUE,C4:I4)&amp;","</f>
        <v xml:space="preserve">    93.2733587660793, 91.6155877934354, 90.6205330495939, 86.5975138193237, 78.2243502683126, 60.8549929786013, 48.7439337710534,</v>
      </c>
      <c r="M4" s="78" t="s">
        <v>7</v>
      </c>
      <c r="N4" s="80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0" t="str">
        <f t="shared" ref="V4:V5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8" t="s">
        <v>12</v>
      </c>
      <c r="B5" s="80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0" t="str">
        <f>"    "&amp;_xlfn.TEXTJOIN(", ",TRUE,C5:I5)&amp;","</f>
        <v xml:space="preserve">    87.5939, 87.6637168141593, 88.1120943952802, 87.9700256922638, 87.4617081462642, 75.2513631894163, 47.7206838582802,</v>
      </c>
      <c r="M5" s="78" t="s">
        <v>12</v>
      </c>
      <c r="N5" s="80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0" t="str">
        <f t="shared" si="0"/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8" t="s">
        <v>21</v>
      </c>
      <c r="B6" s="79"/>
      <c r="C6" s="79"/>
      <c r="D6" s="79"/>
      <c r="E6" s="79"/>
      <c r="F6" s="79"/>
      <c r="G6" s="79"/>
      <c r="H6" s="79"/>
      <c r="I6" s="80"/>
      <c r="J6" s="18"/>
      <c r="K6" s="18"/>
      <c r="L6" s="70"/>
      <c r="M6" s="78" t="s">
        <v>21</v>
      </c>
      <c r="N6" s="79"/>
      <c r="O6" s="79"/>
      <c r="P6" s="79"/>
      <c r="Q6" s="79"/>
      <c r="R6" s="79"/>
      <c r="S6" s="79"/>
      <c r="T6" s="79"/>
      <c r="U6" s="80"/>
      <c r="V6" s="70"/>
    </row>
    <row r="7" spans="1:22" ht="15.75" customHeight="1" thickBot="1" x14ac:dyDescent="0.25">
      <c r="A7" s="21" t="s">
        <v>13</v>
      </c>
      <c r="B7" s="19" t="s">
        <v>8</v>
      </c>
      <c r="C7" s="35">
        <v>93.333339100395918</v>
      </c>
      <c r="D7" s="36">
        <v>91.976476151754468</v>
      </c>
      <c r="E7" s="36">
        <v>91.045323344780954</v>
      </c>
      <c r="F7" s="36">
        <v>87.052710951940199</v>
      </c>
      <c r="G7" s="36">
        <v>78.449040793317124</v>
      </c>
      <c r="H7" s="36">
        <v>60.540757272986802</v>
      </c>
      <c r="I7" s="37">
        <v>48.054694821466157</v>
      </c>
      <c r="J7" s="18" cm="1">
        <f t="array" ref="J7">-SUMPRODUCT((D1:H1-C1:G1)*(C7:G7+D7:H7)/2)</f>
        <v>79.075832763835905</v>
      </c>
      <c r="K7" s="18" cm="1">
        <f t="array" ref="K7">-SUMPRODUCT((D1:I1-C1:H1)*(C7:H7+D7:I7)/2)</f>
        <v>81.790719066197227</v>
      </c>
      <c r="L7" s="70" t="str">
        <f>"    "&amp;_xlfn.TEXTJOIN(", ",TRUE,C7:I7)&amp;","</f>
        <v xml:space="preserve">    93.3333391003959, 91.9764761517545, 91.045323344781, 87.0527109519402, 78.4490407933171, 60.5407572729868, 48.0546948214662,</v>
      </c>
      <c r="M7" s="21" t="s">
        <v>13</v>
      </c>
      <c r="N7" s="19" t="s">
        <v>8</v>
      </c>
      <c r="O7" s="35">
        <v>3.6471192610908778</v>
      </c>
      <c r="P7" s="36">
        <v>4.0155478074549249</v>
      </c>
      <c r="Q7" s="36">
        <v>4.0007206283750341</v>
      </c>
      <c r="R7" s="36">
        <v>4.2632013228563581</v>
      </c>
      <c r="S7" s="36">
        <v>7.0920204677649101</v>
      </c>
      <c r="T7" s="36">
        <v>9.6544635861389025</v>
      </c>
      <c r="U7" s="37">
        <v>8.6928646544890178</v>
      </c>
      <c r="V7" s="70" t="str">
        <f t="shared" ref="V7:V13" si="1">"    "&amp;_xlfn.TEXTJOIN(", ",TRUE,O7:U7)&amp;","</f>
        <v xml:space="preserve">    3.64711926109088, 4.01554780745492, 4.00072062837503, 4.26320132285636, 7.09202046776491, 9.6544635861389, 8.69286465448902,</v>
      </c>
    </row>
    <row r="8" spans="1:22" ht="15.75" customHeight="1" thickBot="1" x14ac:dyDescent="0.25">
      <c r="A8" s="21" t="s">
        <v>14</v>
      </c>
      <c r="B8" s="19" t="s">
        <v>8</v>
      </c>
      <c r="C8" s="38">
        <v>93.348082595870224</v>
      </c>
      <c r="D8" s="104">
        <v>91.734547876711716</v>
      </c>
      <c r="E8" s="104">
        <v>91.035398230088489</v>
      </c>
      <c r="F8" s="104">
        <v>87.489883130476912</v>
      </c>
      <c r="G8" s="104">
        <v>78.803689189929543</v>
      </c>
      <c r="H8" s="104">
        <v>61.283364619647813</v>
      </c>
      <c r="I8" s="39">
        <v>48.718979691289142</v>
      </c>
      <c r="J8" s="18" cm="1">
        <f t="array" ref="J8">-SUMPRODUCT((D1:H1-C1:G1)*(C8:G8+D8:H8)/2)</f>
        <v>79.153131514978497</v>
      </c>
      <c r="K8" s="18" cm="1">
        <f t="array" ref="K8">-SUMPRODUCT((D1:I1-C1:H1)*(C8:H8+D8:I8)/2)</f>
        <v>81.903190122751923</v>
      </c>
      <c r="L8" s="70" t="str">
        <f>"    "&amp;_xlfn.TEXTJOIN(", ",TRUE,C8:I8)&amp;","</f>
        <v xml:space="preserve">    93.3480825958702, 91.7345478767117, 91.0353982300885, 87.4898831304769, 78.8036891899295, 61.2833646196478, 48.7189796912891,</v>
      </c>
      <c r="M8" s="21" t="s">
        <v>14</v>
      </c>
      <c r="N8" s="19" t="s">
        <v>8</v>
      </c>
      <c r="O8" s="38">
        <v>3.5392227449099072</v>
      </c>
      <c r="P8" s="104">
        <v>4.1166673273899974</v>
      </c>
      <c r="Q8" s="104">
        <v>3.731350435622276</v>
      </c>
      <c r="R8" s="104">
        <v>4.0794561614561982</v>
      </c>
      <c r="S8" s="104">
        <v>6.2504404243816083</v>
      </c>
      <c r="T8" s="104">
        <v>9.4560894929634589</v>
      </c>
      <c r="U8" s="39">
        <v>7.921538684876503</v>
      </c>
      <c r="V8" s="70" t="str">
        <f t="shared" si="1"/>
        <v xml:space="preserve">    3.53922274490991, 4.11666732739, 3.73135043562228, 4.0794561614562, 6.25044042438161, 9.45608949296346, 7.9215386848765,</v>
      </c>
    </row>
    <row r="9" spans="1:22" ht="15.75" customHeight="1" thickBot="1" x14ac:dyDescent="0.25">
      <c r="A9" s="21" t="s">
        <v>15</v>
      </c>
      <c r="B9" s="19" t="s">
        <v>8</v>
      </c>
      <c r="C9" s="38">
        <v>93.216322517207473</v>
      </c>
      <c r="D9" s="104">
        <v>92.247833747120083</v>
      </c>
      <c r="E9" s="104">
        <v>91.159320870711113</v>
      </c>
      <c r="F9" s="104">
        <v>87.591686202591148</v>
      </c>
      <c r="G9" s="104">
        <v>82.323566812861699</v>
      </c>
      <c r="H9" s="104">
        <v>63.296473152881937</v>
      </c>
      <c r="I9" s="39">
        <v>50.50767163499107</v>
      </c>
      <c r="J9" s="18" cm="1">
        <f t="array" ref="J9">-SUMPRODUCT((D1:H1-C1:G1)*(C9:G9+D9:H9)/2)</f>
        <v>79.760779216659884</v>
      </c>
      <c r="K9" s="18" cm="1">
        <f t="array" ref="K9">-SUMPRODUCT((D1:I1-C1:H1)*(C9:H9+D9:I9)/2)</f>
        <v>82.605882836356713</v>
      </c>
      <c r="L9" s="70" t="str">
        <f>"    "&amp;_xlfn.TEXTJOIN(", ",TRUE,C9:I9)&amp;","</f>
        <v xml:space="preserve">    93.2163225172075, 92.2478337471201, 91.1593208707111, 87.5916862025911, 82.3235668128617, 63.2964731528819, 50.5076716349911,</v>
      </c>
      <c r="M9" s="21" t="s">
        <v>15</v>
      </c>
      <c r="N9" s="19" t="s">
        <v>8</v>
      </c>
      <c r="O9" s="38">
        <v>3.50824561310796</v>
      </c>
      <c r="P9" s="104">
        <v>3.7085264685267569</v>
      </c>
      <c r="Q9" s="104">
        <v>3.638125751557451</v>
      </c>
      <c r="R9" s="104">
        <v>4.2163405650928274</v>
      </c>
      <c r="S9" s="104">
        <v>6.1158566335693001</v>
      </c>
      <c r="T9" s="104">
        <v>7.7321918390988564</v>
      </c>
      <c r="U9" s="39">
        <v>7.4491701073245427</v>
      </c>
      <c r="V9" s="70" t="str">
        <f t="shared" si="1"/>
        <v xml:space="preserve">    3.50824561310796, 3.70852646852676, 3.63812575155745, 4.21634056509283, 6.1158566335693, 7.73219183909886, 7.44917010732454,</v>
      </c>
    </row>
    <row r="10" spans="1:22" ht="15.75" customHeight="1" thickBot="1" x14ac:dyDescent="0.25">
      <c r="A10" s="21" t="s">
        <v>16</v>
      </c>
      <c r="B10" s="19" t="s">
        <v>8</v>
      </c>
      <c r="C10" s="38">
        <v>93.191746180041932</v>
      </c>
      <c r="D10" s="104">
        <v>92.199623987520056</v>
      </c>
      <c r="E10" s="104">
        <v>90.989195408264763</v>
      </c>
      <c r="F10" s="104">
        <v>88.652381652667117</v>
      </c>
      <c r="G10" s="104">
        <v>83.532317176907512</v>
      </c>
      <c r="H10" s="104">
        <v>65.137431984705756</v>
      </c>
      <c r="I10" s="39">
        <v>54.805508698172119</v>
      </c>
      <c r="J10" s="18" cm="1">
        <f t="array" ref="J10">-SUMPRODUCT((D1:H1-C1:G1)*(C10:G10+D10:H10)/2)</f>
        <v>80.079403801070939</v>
      </c>
      <c r="K10" s="18" cm="1">
        <f t="array" ref="K10">-SUMPRODUCT((D1:I1-C1:H1)*(C10:H10+D10:I10)/2)</f>
        <v>83.077977318142885</v>
      </c>
      <c r="L10" s="70" t="str">
        <f>"    "&amp;_xlfn.TEXTJOIN(", ",TRUE,C10:I10)&amp;","</f>
        <v xml:space="preserve">    93.1917461800419, 92.1996239875201, 90.9891954082648, 88.6523816526671, 83.5323171769075, 65.1374319847058, 54.8055086981721,</v>
      </c>
      <c r="M10" s="21" t="s">
        <v>16</v>
      </c>
      <c r="N10" s="19" t="s">
        <v>8</v>
      </c>
      <c r="O10" s="38">
        <v>3.6224433092855568</v>
      </c>
      <c r="P10" s="104">
        <v>3.735485559077385</v>
      </c>
      <c r="Q10" s="104">
        <v>3.7288901306873381</v>
      </c>
      <c r="R10" s="104">
        <v>3.8637758815240288</v>
      </c>
      <c r="S10" s="104">
        <v>5.116311889838431</v>
      </c>
      <c r="T10" s="104">
        <v>7.3700785413923633</v>
      </c>
      <c r="U10" s="39">
        <v>6.301533203324265</v>
      </c>
      <c r="V10" s="70" t="str">
        <f t="shared" si="1"/>
        <v xml:space="preserve">    3.62244330928556, 3.73548555907738, 3.72889013068734, 3.86377588152403, 5.11631188983843, 7.37007854139236, 6.30153320332427,</v>
      </c>
    </row>
    <row r="11" spans="1:22" ht="15.75" customHeight="1" thickBot="1" x14ac:dyDescent="0.25">
      <c r="A11" s="4" t="s">
        <v>17</v>
      </c>
      <c r="B11" s="19" t="s">
        <v>8</v>
      </c>
      <c r="C11" s="40">
        <v>93.347099311701101</v>
      </c>
      <c r="D11" s="41">
        <v>92.429741318408162</v>
      </c>
      <c r="E11" s="41">
        <v>91.177980201674188</v>
      </c>
      <c r="F11" s="41">
        <v>88.609442988261151</v>
      </c>
      <c r="G11" s="41">
        <v>83.887882536469476</v>
      </c>
      <c r="H11" s="41">
        <v>65.46502997430774</v>
      </c>
      <c r="I11" s="42">
        <v>53.025920062745648</v>
      </c>
      <c r="J11" s="18" cm="1">
        <f t="array" ref="J11">-SUMPRODUCT((D1:H1-C1:G1)*(C11:G11+D11:H11)/2)</f>
        <v>80.24432448954289</v>
      </c>
      <c r="K11" s="18" cm="1">
        <f t="array" ref="K11">-SUMPRODUCT((D1:I1-C1:H1)*(C11:H11+D11:I11)/2)</f>
        <v>83.206598240469219</v>
      </c>
      <c r="L11" s="70" t="str">
        <f>"    "&amp;_xlfn.TEXTJOIN(", ",TRUE,C11:I11)&amp;","</f>
        <v xml:space="preserve">    93.3470993117011, 92.4297413184082, 91.1779802016742, 88.6094429882612, 83.8878825364695, 65.4650299743077, 53.0259200627456,</v>
      </c>
      <c r="M11" s="4" t="s">
        <v>17</v>
      </c>
      <c r="N11" s="19" t="s">
        <v>8</v>
      </c>
      <c r="O11" s="40">
        <v>3.530639787063353</v>
      </c>
      <c r="P11" s="41">
        <v>3.7877954805458178</v>
      </c>
      <c r="Q11" s="41">
        <v>3.5724123756053681</v>
      </c>
      <c r="R11" s="41">
        <v>3.9540852979376608</v>
      </c>
      <c r="S11" s="41">
        <v>4.7311149340952454</v>
      </c>
      <c r="T11" s="41">
        <v>6.8843348259745856</v>
      </c>
      <c r="U11" s="42">
        <v>6.3274200723455936</v>
      </c>
      <c r="V11" s="70" t="str">
        <f t="shared" si="1"/>
        <v xml:space="preserve">    3.53063978706335, 3.78779548054582, 3.57241237560537, 3.95408529793766, 4.73111493409525, 6.88433482597459, 6.32742007234559,</v>
      </c>
    </row>
    <row r="12" spans="1:22" ht="15.75" customHeight="1" thickBot="1" x14ac:dyDescent="0.25">
      <c r="A12" s="78" t="s">
        <v>22</v>
      </c>
      <c r="B12" s="79"/>
      <c r="C12" s="85"/>
      <c r="D12" s="85"/>
      <c r="E12" s="85"/>
      <c r="F12" s="85"/>
      <c r="G12" s="85"/>
      <c r="H12" s="85"/>
      <c r="I12" s="84"/>
      <c r="J12" s="18"/>
      <c r="K12" s="18"/>
      <c r="L12" s="70"/>
      <c r="M12" s="78" t="s">
        <v>22</v>
      </c>
      <c r="N12" s="79"/>
      <c r="O12" s="85"/>
      <c r="P12" s="85"/>
      <c r="Q12" s="85"/>
      <c r="R12" s="85"/>
      <c r="S12" s="85"/>
      <c r="T12" s="85"/>
      <c r="U12" s="84"/>
      <c r="V12" s="70"/>
    </row>
    <row r="13" spans="1:22" ht="15.75" customHeight="1" thickBot="1" x14ac:dyDescent="0.25">
      <c r="A13" s="78" t="s">
        <v>9</v>
      </c>
      <c r="B13" s="80"/>
      <c r="C13" s="52">
        <v>93.782740335124032</v>
      </c>
      <c r="D13" s="53">
        <v>91.948208894540599</v>
      </c>
      <c r="E13" s="53">
        <v>90.212980504444957</v>
      </c>
      <c r="F13" s="53">
        <v>84.630388959535409</v>
      </c>
      <c r="G13" s="53">
        <v>75.371093175546491</v>
      </c>
      <c r="H13" s="53">
        <v>59.627211308056303</v>
      </c>
      <c r="I13" s="54">
        <v>47.844185503334799</v>
      </c>
      <c r="J13" s="18" cm="1">
        <f t="array" ref="J13">-SUMPRODUCT((D1:H1-C1:G1)*(C13:G13+D13:H13)/2)</f>
        <v>78.220843605913544</v>
      </c>
      <c r="K13" s="18" cm="1">
        <f t="array" ref="K13">-SUMPRODUCT((D1:I1-C1:H1)*(C13:H13+D13:I13)/2)</f>
        <v>80.907628526198323</v>
      </c>
      <c r="L13" s="70" t="str">
        <f>"    "&amp;_xlfn.TEXTJOIN(", ",TRUE,C13:I13)&amp;","</f>
        <v xml:space="preserve">    93.782740335124, 91.9482088945406, 90.212980504445, 84.6303889595354, 75.3710931755465, 59.6272113080563, 47.8441855033348,</v>
      </c>
      <c r="M13" s="78" t="s">
        <v>9</v>
      </c>
      <c r="N13" s="80"/>
      <c r="O13" s="52">
        <v>3.5391983918820551</v>
      </c>
      <c r="P13" s="53">
        <v>4.1060038651541966</v>
      </c>
      <c r="Q13" s="53">
        <v>4.774795806468676</v>
      </c>
      <c r="R13" s="53">
        <v>5.3483339064680431</v>
      </c>
      <c r="S13" s="53">
        <v>8.0994903921197494</v>
      </c>
      <c r="T13" s="53">
        <v>10.59987402205407</v>
      </c>
      <c r="U13" s="54">
        <v>8.7604668874903737</v>
      </c>
      <c r="V13" s="70" t="str">
        <f t="shared" ref="V13:V16" si="2">"    "&amp;_xlfn.TEXTJOIN(", ",TRUE,O13:U13)&amp;","</f>
        <v xml:space="preserve">    3.53919839188206, 4.1060038651542, 4.77479580646868, 5.34833390646804, 8.09949039211975, 10.5998740220541, 8.76046688749037,</v>
      </c>
    </row>
    <row r="14" spans="1:22" ht="15.75" customHeight="1" thickBot="1" x14ac:dyDescent="0.25">
      <c r="A14" s="83" t="s">
        <v>10</v>
      </c>
      <c r="B14" s="84"/>
      <c r="C14" s="55">
        <v>93.226230330712227</v>
      </c>
      <c r="D14" s="56">
        <v>91.83329152212967</v>
      </c>
      <c r="E14" s="56">
        <v>90.325291164571794</v>
      </c>
      <c r="F14" s="56">
        <v>85.383492360083878</v>
      </c>
      <c r="G14" s="56">
        <v>76.567000291236639</v>
      </c>
      <c r="H14" s="56">
        <v>59.41454222499042</v>
      </c>
      <c r="I14" s="57">
        <v>50.563407411252108</v>
      </c>
      <c r="J14" s="18" cm="1">
        <f t="array" ref="J14">-SUMPRODUCT((D1:H1-C1:G1)*(C14:G14+D14:H14)/2)</f>
        <v>78.369743178285859</v>
      </c>
      <c r="K14" s="18" cm="1">
        <f t="array" ref="K14">-SUMPRODUCT((D1:I1-C1:H1)*(C14:H14+D14:I14)/2)</f>
        <v>81.11919191919192</v>
      </c>
      <c r="L14" s="70" t="str">
        <f>"    "&amp;_xlfn.TEXTJOIN(", ",TRUE,C14:I14)&amp;","</f>
        <v xml:space="preserve">    93.2262303307122, 91.8332915221297, 90.3252911645718, 85.3834923600839, 76.5670002912366, 59.4145422249904, 50.5634074112521,</v>
      </c>
      <c r="M14" s="78" t="s">
        <v>10</v>
      </c>
      <c r="N14" s="80"/>
      <c r="O14" s="55">
        <v>3.945711842949601</v>
      </c>
      <c r="P14" s="56">
        <v>4.8525950161134093</v>
      </c>
      <c r="Q14" s="56">
        <v>4.4346894499148144</v>
      </c>
      <c r="R14" s="56">
        <v>5.4810029574676529</v>
      </c>
      <c r="S14" s="56">
        <v>8.4636725644600066</v>
      </c>
      <c r="T14" s="56">
        <v>10.788297692871961</v>
      </c>
      <c r="U14" s="57">
        <v>8.7433484877826491</v>
      </c>
      <c r="V14" s="70" t="str">
        <f t="shared" si="2"/>
        <v xml:space="preserve">    3.9457118429496, 4.85259501611341, 4.43468944991481, 5.48100295746765, 8.46367256446001, 10.788297692872, 8.74334848778265,</v>
      </c>
    </row>
    <row r="15" spans="1:22" ht="15.75" customHeight="1" thickBot="1" x14ac:dyDescent="0.25">
      <c r="A15" s="78" t="s">
        <v>18</v>
      </c>
      <c r="B15" s="80"/>
      <c r="C15" s="55">
        <v>93.004922187908207</v>
      </c>
      <c r="D15" s="56">
        <v>91.518502178507859</v>
      </c>
      <c r="E15" s="56">
        <v>89.729420958082102</v>
      </c>
      <c r="F15" s="56">
        <v>83.348607398564567</v>
      </c>
      <c r="G15" s="56">
        <v>74.087719905304837</v>
      </c>
      <c r="H15" s="56">
        <v>57.917332041511322</v>
      </c>
      <c r="I15" s="57">
        <v>48.007794185070807</v>
      </c>
      <c r="J15" s="18" cm="1">
        <f t="array" ref="J15">-SUMPRODUCT((D1:H1-C1:G1)*(C15:G15+D15:H15)/2)</f>
        <v>77.501290236074709</v>
      </c>
      <c r="K15" s="18" cm="1">
        <f t="array" ref="K15">-SUMPRODUCT((D1:I1-C1:H1)*(C15:H15+D15:I15)/2)</f>
        <v>80.14941839173926</v>
      </c>
      <c r="L15" s="70" t="str">
        <f>"    "&amp;_xlfn.TEXTJOIN(", ",TRUE,C15:I15)&amp;","</f>
        <v xml:space="preserve">    93.0049221879082, 91.5185021785079, 89.7294209580821, 83.3486073985646, 74.0877199053048, 57.9173320415113, 48.0077941850708,</v>
      </c>
      <c r="M15" s="78" t="s">
        <v>18</v>
      </c>
      <c r="N15" s="80"/>
      <c r="O15" s="55">
        <v>3.690401528555848</v>
      </c>
      <c r="P15" s="56">
        <v>4.2469367469027457</v>
      </c>
      <c r="Q15" s="56">
        <v>4.4611096369834957</v>
      </c>
      <c r="R15" s="56">
        <v>5.4089286426803449</v>
      </c>
      <c r="S15" s="56">
        <v>9.092124974067179</v>
      </c>
      <c r="T15" s="56">
        <v>10.83557708581068</v>
      </c>
      <c r="U15" s="57">
        <v>9.2904800440053528</v>
      </c>
      <c r="V15" s="70" t="str">
        <f t="shared" si="2"/>
        <v xml:space="preserve">    3.69040152855585, 4.24693674690275, 4.4611096369835, 5.40892864268034, 9.09212497406718, 10.8355770858107, 9.29048004400535,</v>
      </c>
    </row>
    <row r="16" spans="1:22" ht="15.75" customHeight="1" thickBot="1" x14ac:dyDescent="0.25">
      <c r="A16" s="78" t="s">
        <v>19</v>
      </c>
      <c r="B16" s="80"/>
      <c r="C16" s="58">
        <v>93.123279613145442</v>
      </c>
      <c r="D16" s="59">
        <v>91.674385879923975</v>
      </c>
      <c r="E16" s="59">
        <v>89.698688281617194</v>
      </c>
      <c r="F16" s="59">
        <v>84.957067102656595</v>
      </c>
      <c r="G16" s="59">
        <v>75.939082518014857</v>
      </c>
      <c r="H16" s="59">
        <v>59.995092229748238</v>
      </c>
      <c r="I16" s="60">
        <v>48.440303693515233</v>
      </c>
      <c r="J16" s="18" cm="1">
        <f t="array" ref="J16">-SUMPRODUCT((D1:H1-C1:G1)*(C16:G16+D16:H16)/2)</f>
        <v>78.078434213675436</v>
      </c>
      <c r="K16" s="18" cm="1">
        <f t="array" ref="K16">-SUMPRODUCT((D1:I1-C1:H1)*(C16:H16+D16:I16)/2)</f>
        <v>80.789319111757024</v>
      </c>
      <c r="L16" s="70" t="str">
        <f>"    "&amp;_xlfn.TEXTJOIN(", ",TRUE,C16:I16)&amp;","</f>
        <v xml:space="preserve">    93.1232796131454, 91.674385879924, 89.6986882816172, 84.9570671026566, 75.9390825180149, 59.9950922297482, 48.4403036935152,</v>
      </c>
      <c r="M16" s="78" t="s">
        <v>19</v>
      </c>
      <c r="N16" s="80"/>
      <c r="O16" s="58">
        <v>3.8088682011350912</v>
      </c>
      <c r="P16" s="59">
        <v>4.4783864386850611</v>
      </c>
      <c r="Q16" s="59">
        <v>5.0849840192173117</v>
      </c>
      <c r="R16" s="59">
        <v>5.0366327026230584</v>
      </c>
      <c r="S16" s="59">
        <v>7.6643798786674449</v>
      </c>
      <c r="T16" s="59">
        <v>10.05146904627655</v>
      </c>
      <c r="U16" s="60">
        <v>9.821397671709315</v>
      </c>
      <c r="V16" s="70" t="str">
        <f t="shared" si="2"/>
        <v xml:space="preserve">    3.80886820113509, 4.47838643868506, 5.08498401921731, 5.03663270262306, 7.66437987866744, 10.0514690462765, 9.82139767170931,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1"/>
      <c r="M17" s="23"/>
      <c r="N17" s="23"/>
      <c r="O17" s="23"/>
      <c r="P17" s="23"/>
      <c r="Q17" s="23"/>
      <c r="R17" s="23"/>
      <c r="S17" s="23"/>
      <c r="T17" s="23"/>
      <c r="U17" s="23"/>
      <c r="V17" s="71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2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2"/>
    </row>
    <row r="19" spans="1:22" ht="15.75" thickBot="1" x14ac:dyDescent="0.25">
      <c r="A19" s="75" t="s">
        <v>20</v>
      </c>
      <c r="B19" s="76"/>
      <c r="C19" s="76"/>
      <c r="D19" s="76"/>
      <c r="E19" s="76"/>
      <c r="F19" s="76"/>
      <c r="G19" s="76"/>
      <c r="H19" s="76"/>
      <c r="I19" s="77"/>
      <c r="J19" s="14"/>
      <c r="K19" s="14"/>
      <c r="L19" s="72"/>
      <c r="M19" s="75" t="s">
        <v>20</v>
      </c>
      <c r="N19" s="76"/>
      <c r="O19" s="76"/>
      <c r="P19" s="76"/>
      <c r="Q19" s="76"/>
      <c r="R19" s="76"/>
      <c r="S19" s="76"/>
      <c r="T19" s="76"/>
      <c r="U19" s="77"/>
      <c r="V19" s="72"/>
    </row>
    <row r="20" spans="1:22" ht="15.75" thickBot="1" x14ac:dyDescent="0.25">
      <c r="A20" s="75" t="s">
        <v>6</v>
      </c>
      <c r="B20" s="77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2" t="str">
        <f>"    "&amp;_xlfn.TEXTJOIN(", ",TRUE,C20:I20)&amp;","</f>
        <v xml:space="preserve">    92.5671117697133, 90.8358586083436, 89.2175053395332, 83.2372459642881, 75.380430844191, 58.9943671875974, 43.6225356413822,</v>
      </c>
      <c r="M20" s="75" t="s">
        <v>2</v>
      </c>
      <c r="N20" s="77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2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5" t="s">
        <v>7</v>
      </c>
      <c r="B21" s="77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2" t="str">
        <f>"    "&amp;_xlfn.TEXTJOIN(", ",TRUE,C21:I21)&amp;","</f>
        <v xml:space="preserve">    92.8669502180425, 91.2426907647456, 90.1370532276984, 86.0801529266134, 77.4102172551968, 59.6761947649801, 46.3954904194042,</v>
      </c>
      <c r="M21" s="75" t="s">
        <v>7</v>
      </c>
      <c r="N21" s="77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2" t="str">
        <f t="shared" ref="V21:V28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5" t="s">
        <v>12</v>
      </c>
      <c r="B22" s="77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2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75" t="s">
        <v>12</v>
      </c>
      <c r="N22" s="77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2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5" t="s">
        <v>21</v>
      </c>
      <c r="B23" s="76"/>
      <c r="C23" s="76"/>
      <c r="D23" s="76"/>
      <c r="E23" s="76"/>
      <c r="F23" s="76"/>
      <c r="G23" s="76"/>
      <c r="H23" s="76"/>
      <c r="I23" s="77"/>
      <c r="J23" s="24"/>
      <c r="K23" s="24"/>
      <c r="L23" s="72"/>
      <c r="M23" s="75" t="s">
        <v>21</v>
      </c>
      <c r="N23" s="76"/>
      <c r="O23" s="76"/>
      <c r="P23" s="76"/>
      <c r="Q23" s="76"/>
      <c r="R23" s="76"/>
      <c r="S23" s="76"/>
      <c r="T23" s="76"/>
      <c r="U23" s="77"/>
      <c r="V23" s="72"/>
    </row>
    <row r="24" spans="1:22" ht="15.75" thickBot="1" x14ac:dyDescent="0.25">
      <c r="A24" s="28" t="s">
        <v>13</v>
      </c>
      <c r="B24" s="20" t="s">
        <v>8</v>
      </c>
      <c r="C24" s="43">
        <v>92.912852654840407</v>
      </c>
      <c r="D24" s="44">
        <v>91.585061126350169</v>
      </c>
      <c r="E24" s="44">
        <v>90.631379737249929</v>
      </c>
      <c r="F24" s="44">
        <v>86.557493885249485</v>
      </c>
      <c r="G24" s="44">
        <v>77.586188687709281</v>
      </c>
      <c r="H24" s="44">
        <v>59.461873381274387</v>
      </c>
      <c r="I24" s="45">
        <v>45.395002644884933</v>
      </c>
      <c r="J24" s="24"/>
      <c r="K24" s="24"/>
      <c r="L24" s="72" t="str">
        <f t="shared" si="4"/>
        <v xml:space="preserve">    92.9128526548404, 91.5850611263502, 90.6313797372499, 86.5574938852495, 77.5861886877093, 59.4618733812744, 45.3950026448849,</v>
      </c>
      <c r="M24" s="28" t="s">
        <v>13</v>
      </c>
      <c r="N24" s="20" t="s">
        <v>8</v>
      </c>
      <c r="O24" s="43">
        <v>4.0913404466046828</v>
      </c>
      <c r="P24" s="44">
        <v>4.3237250583661941</v>
      </c>
      <c r="Q24" s="44">
        <v>4.3262482453083848</v>
      </c>
      <c r="R24" s="44">
        <v>4.4919359786441468</v>
      </c>
      <c r="S24" s="44">
        <v>7.3616608466520557</v>
      </c>
      <c r="T24" s="44">
        <v>9.9700097280596331</v>
      </c>
      <c r="U24" s="45">
        <v>9.5985963603623166</v>
      </c>
      <c r="V24" s="72" t="str">
        <f t="shared" si="3"/>
        <v xml:space="preserve">    4.09134044660468, 4.32372505836619, 4.32624824530838, 4.49193597864415, 7.36166084665206, 9.97000972805963, 9.59859636036232,</v>
      </c>
    </row>
    <row r="25" spans="1:22" ht="15.75" thickBot="1" x14ac:dyDescent="0.25">
      <c r="A25" s="28" t="s">
        <v>14</v>
      </c>
      <c r="B25" s="20" t="s">
        <v>8</v>
      </c>
      <c r="C25" s="46">
        <v>92.904553050086989</v>
      </c>
      <c r="D25" s="105">
        <v>91.285549019846911</v>
      </c>
      <c r="E25" s="105">
        <v>90.569699609339949</v>
      </c>
      <c r="F25" s="105">
        <v>86.91560233792849</v>
      </c>
      <c r="G25" s="105">
        <v>78.019900584074122</v>
      </c>
      <c r="H25" s="105">
        <v>60.070644955119299</v>
      </c>
      <c r="I25" s="47">
        <v>46.194567947490299</v>
      </c>
      <c r="J25" s="24"/>
      <c r="K25" s="24"/>
      <c r="L25" s="72" t="str">
        <f t="shared" si="4"/>
        <v xml:space="preserve">    92.904553050087, 91.2855490198469, 90.5696996093399, 86.9156023379285, 78.0199005840741, 60.0706449551193, 46.1945679474903,</v>
      </c>
      <c r="M25" s="28" t="s">
        <v>14</v>
      </c>
      <c r="N25" s="20" t="s">
        <v>8</v>
      </c>
      <c r="O25" s="46">
        <v>3.9019107046409012</v>
      </c>
      <c r="P25" s="105">
        <v>4.4455639511832086</v>
      </c>
      <c r="Q25" s="105">
        <v>4.0510828559823198</v>
      </c>
      <c r="R25" s="105">
        <v>4.4545832382007742</v>
      </c>
      <c r="S25" s="105">
        <v>6.8770204094020473</v>
      </c>
      <c r="T25" s="105">
        <v>9.7155295852891168</v>
      </c>
      <c r="U25" s="47">
        <v>8.8293150451424705</v>
      </c>
      <c r="V25" s="72" t="str">
        <f t="shared" si="3"/>
        <v xml:space="preserve">    3.9019107046409, 4.44556395118321, 4.05108285598232, 4.45458323820077, 6.87702040940205, 9.71552958528912, 8.82931504514247,</v>
      </c>
    </row>
    <row r="26" spans="1:22" ht="15.75" thickBot="1" x14ac:dyDescent="0.25">
      <c r="A26" s="28" t="s">
        <v>15</v>
      </c>
      <c r="B26" s="20" t="s">
        <v>8</v>
      </c>
      <c r="C26" s="46">
        <v>92.776300574546468</v>
      </c>
      <c r="D26" s="105">
        <v>91.885526511933534</v>
      </c>
      <c r="E26" s="105">
        <v>90.745170514590029</v>
      </c>
      <c r="F26" s="105">
        <v>87.098572168690808</v>
      </c>
      <c r="G26" s="105">
        <v>81.700787705058417</v>
      </c>
      <c r="H26" s="105">
        <v>62.596248767273643</v>
      </c>
      <c r="I26" s="47">
        <v>48.285477578158947</v>
      </c>
      <c r="J26" s="24"/>
      <c r="K26" s="24"/>
      <c r="L26" s="72" t="str">
        <f t="shared" si="4"/>
        <v xml:space="preserve">    92.7763005745465, 91.8855265119335, 90.74517051459, 87.0985721686908, 81.7007877050584, 62.5962487672736, 48.2854775781589,</v>
      </c>
      <c r="M26" s="28" t="s">
        <v>15</v>
      </c>
      <c r="N26" s="20" t="s">
        <v>8</v>
      </c>
      <c r="O26" s="46">
        <v>3.9001623046993079</v>
      </c>
      <c r="P26" s="105">
        <v>4.0736979000103517</v>
      </c>
      <c r="Q26" s="105">
        <v>3.967791791591202</v>
      </c>
      <c r="R26" s="105">
        <v>4.4862923688679617</v>
      </c>
      <c r="S26" s="105">
        <v>6.5066124791707756</v>
      </c>
      <c r="T26" s="105">
        <v>8.0440908627225163</v>
      </c>
      <c r="U26" s="47">
        <v>8.2436920453430016</v>
      </c>
      <c r="V26" s="72" t="str">
        <f t="shared" si="3"/>
        <v xml:space="preserve">    3.90016230469931, 4.07369790001035, 3.9677917915912, 4.48629236886796, 6.50661247917078, 8.04409086272252, 8.243692045343,</v>
      </c>
    </row>
    <row r="27" spans="1:22" ht="15.75" thickBot="1" x14ac:dyDescent="0.25">
      <c r="A27" s="28" t="s">
        <v>16</v>
      </c>
      <c r="B27" s="20" t="s">
        <v>8</v>
      </c>
      <c r="C27" s="46">
        <v>92.744747510652303</v>
      </c>
      <c r="D27" s="105">
        <v>91.722748393987047</v>
      </c>
      <c r="E27" s="105">
        <v>90.57364351678163</v>
      </c>
      <c r="F27" s="105">
        <v>88.150856654468015</v>
      </c>
      <c r="G27" s="105">
        <v>83.057930240091451</v>
      </c>
      <c r="H27" s="105">
        <v>64.316818768379832</v>
      </c>
      <c r="I27" s="47">
        <v>53.044430414537167</v>
      </c>
      <c r="J27" s="24"/>
      <c r="K27" s="24"/>
      <c r="L27" s="72" t="str">
        <f t="shared" si="4"/>
        <v xml:space="preserve">    92.7447475106523, 91.722748393987, 90.5736435167816, 88.150856654468, 83.0579302400915, 64.3168187683798, 53.0444304145372,</v>
      </c>
      <c r="M27" s="28" t="s">
        <v>16</v>
      </c>
      <c r="N27" s="20" t="s">
        <v>8</v>
      </c>
      <c r="O27" s="46">
        <v>4.0037963827525598</v>
      </c>
      <c r="P27" s="105">
        <v>4.0816797130846734</v>
      </c>
      <c r="Q27" s="105">
        <v>4.0715360937437408</v>
      </c>
      <c r="R27" s="105">
        <v>4.2122936700897746</v>
      </c>
      <c r="S27" s="105">
        <v>5.4037457924948038</v>
      </c>
      <c r="T27" s="105">
        <v>7.786096026534822</v>
      </c>
      <c r="U27" s="47">
        <v>6.8126934153857039</v>
      </c>
      <c r="V27" s="72" t="str">
        <f t="shared" si="3"/>
        <v xml:space="preserve">    4.00379638275256, 4.08167971308467, 4.07153609374374, 4.21229367008977, 5.4037457924948, 7.78609602653482, 6.8126934153857,</v>
      </c>
    </row>
    <row r="28" spans="1:22" ht="15.75" thickBot="1" x14ac:dyDescent="0.25">
      <c r="A28" s="29" t="s">
        <v>17</v>
      </c>
      <c r="B28" s="20" t="s">
        <v>8</v>
      </c>
      <c r="C28" s="48">
        <v>92.988386774165761</v>
      </c>
      <c r="D28" s="49">
        <v>92.050616029386802</v>
      </c>
      <c r="E28" s="49">
        <v>90.719698676196401</v>
      </c>
      <c r="F28" s="49">
        <v>88.185686945633506</v>
      </c>
      <c r="G28" s="49">
        <v>83.275334389555965</v>
      </c>
      <c r="H28" s="49">
        <v>64.685401955234482</v>
      </c>
      <c r="I28" s="50">
        <v>51.069046974801182</v>
      </c>
      <c r="J28" s="24"/>
      <c r="K28" s="24"/>
      <c r="L28" s="72" t="str">
        <f t="shared" si="4"/>
        <v xml:space="preserve">    92.9883867741658, 92.0506160293868, 90.7196986761964, 88.1856869456335, 83.275334389556, 64.6854019552345, 51.0690469748012,</v>
      </c>
      <c r="M28" s="29" t="s">
        <v>17</v>
      </c>
      <c r="N28" s="20" t="s">
        <v>8</v>
      </c>
      <c r="O28" s="48">
        <v>3.845990120862357</v>
      </c>
      <c r="P28" s="49">
        <v>4.1197830115536282</v>
      </c>
      <c r="Q28" s="49">
        <v>3.9254290526154212</v>
      </c>
      <c r="R28" s="49">
        <v>4.2886830099031732</v>
      </c>
      <c r="S28" s="49">
        <v>5.0859486951315533</v>
      </c>
      <c r="T28" s="49">
        <v>7.2871022167686217</v>
      </c>
      <c r="U28" s="50">
        <v>6.9147061894583581</v>
      </c>
      <c r="V28" s="72" t="str">
        <f t="shared" si="3"/>
        <v xml:space="preserve">    3.84599012086236, 4.11978301155363, 3.92542905261542, 4.28868300990317, 5.08594869513155, 7.28710221676862, 6.91470618945836,</v>
      </c>
    </row>
    <row r="29" spans="1:22" ht="15.75" thickBot="1" x14ac:dyDescent="0.25">
      <c r="A29" s="75" t="s">
        <v>22</v>
      </c>
      <c r="B29" s="76"/>
      <c r="C29" s="81"/>
      <c r="D29" s="81"/>
      <c r="E29" s="81"/>
      <c r="F29" s="81"/>
      <c r="G29" s="81"/>
      <c r="H29" s="81"/>
      <c r="I29" s="82"/>
      <c r="J29" s="24"/>
      <c r="K29" s="24"/>
      <c r="L29" s="72"/>
      <c r="M29" s="75" t="s">
        <v>22</v>
      </c>
      <c r="N29" s="76"/>
      <c r="O29" s="81"/>
      <c r="P29" s="81"/>
      <c r="Q29" s="81"/>
      <c r="R29" s="81"/>
      <c r="S29" s="81"/>
      <c r="T29" s="81"/>
      <c r="U29" s="82"/>
      <c r="V29" s="72"/>
    </row>
    <row r="30" spans="1:22" ht="14.25" customHeight="1" thickBot="1" x14ac:dyDescent="0.25">
      <c r="A30" s="75" t="s">
        <v>9</v>
      </c>
      <c r="B30" s="77"/>
      <c r="C30" s="61">
        <v>93.403798109785029</v>
      </c>
      <c r="D30" s="62">
        <v>91.51700700493744</v>
      </c>
      <c r="E30" s="62">
        <v>89.749880462689262</v>
      </c>
      <c r="F30" s="62">
        <v>83.99730958119234</v>
      </c>
      <c r="G30" s="62">
        <v>74.394962965986878</v>
      </c>
      <c r="H30" s="62">
        <v>58.095582470498513</v>
      </c>
      <c r="I30" s="63">
        <v>44.434812706207254</v>
      </c>
      <c r="J30" s="24"/>
      <c r="K30" s="24"/>
      <c r="L30" s="72" t="str">
        <f t="shared" ref="L30:L33" si="5">"    "&amp;_xlfn.TEXTJOIN(", ",TRUE,C30:I30)&amp;","</f>
        <v xml:space="preserve">    93.403798109785, 91.5170070049374, 89.7498804626893, 83.9973095811923, 74.3949629659869, 58.0955824704985, 44.4348127062073,</v>
      </c>
      <c r="M30" s="75" t="s">
        <v>9</v>
      </c>
      <c r="N30" s="77"/>
      <c r="O30" s="61">
        <v>3.9553866501853321</v>
      </c>
      <c r="P30" s="62">
        <v>4.517630835861226</v>
      </c>
      <c r="Q30" s="62">
        <v>5.2125425794506972</v>
      </c>
      <c r="R30" s="62">
        <v>5.6477461387684551</v>
      </c>
      <c r="S30" s="62">
        <v>8.6090564713117175</v>
      </c>
      <c r="T30" s="62">
        <v>11.357157347254571</v>
      </c>
      <c r="U30" s="63">
        <v>9.3757621724255777</v>
      </c>
      <c r="V30" s="72" t="str">
        <f t="shared" ref="V30:V33" si="6">"    "&amp;_xlfn.TEXTJOIN(", ",TRUE,O30:U30)&amp;","</f>
        <v xml:space="preserve">    3.95538665018533, 4.51763083586123, 5.2125425794507, 5.64774613876846, 8.60905647131172, 11.3571573472546, 9.37576217242558,</v>
      </c>
    </row>
    <row r="31" spans="1:22" ht="15.75" thickBot="1" x14ac:dyDescent="0.25">
      <c r="A31" s="75" t="s">
        <v>10</v>
      </c>
      <c r="B31" s="77"/>
      <c r="C31" s="64">
        <v>92.778947400409621</v>
      </c>
      <c r="D31" s="65">
        <v>91.450368996373655</v>
      </c>
      <c r="E31" s="65">
        <v>89.879480954542075</v>
      </c>
      <c r="F31" s="65">
        <v>84.748756470336986</v>
      </c>
      <c r="G31" s="65">
        <v>75.627608782580538</v>
      </c>
      <c r="H31" s="65">
        <v>58.300265665116903</v>
      </c>
      <c r="I31" s="66">
        <v>48.584106437626268</v>
      </c>
      <c r="J31" s="24"/>
      <c r="K31" s="24"/>
      <c r="L31" s="72" t="str">
        <f t="shared" si="5"/>
        <v xml:space="preserve">    92.7789474004096, 91.4503689963737, 89.8794809545421, 84.748756470337, 75.6276087825805, 58.3002656651169, 48.5841064376263,</v>
      </c>
      <c r="M31" s="75" t="s">
        <v>10</v>
      </c>
      <c r="N31" s="77"/>
      <c r="O31" s="64">
        <v>4.3743918396131134</v>
      </c>
      <c r="P31" s="65">
        <v>5.1779143655465321</v>
      </c>
      <c r="Q31" s="65">
        <v>4.8362705721377752</v>
      </c>
      <c r="R31" s="65">
        <v>5.6797782301447892</v>
      </c>
      <c r="S31" s="65">
        <v>9.0190902977959446</v>
      </c>
      <c r="T31" s="65">
        <v>11.000258135261941</v>
      </c>
      <c r="U31" s="66">
        <v>9.2918474149187738</v>
      </c>
      <c r="V31" s="72" t="str">
        <f t="shared" si="6"/>
        <v xml:space="preserve">    4.37439183961311, 5.17791436554653, 4.83627057213778, 5.67977823014479, 9.01909029779594, 11.0002581352619, 9.29184741491877,</v>
      </c>
    </row>
    <row r="32" spans="1:22" ht="14.25" customHeight="1" thickBot="1" x14ac:dyDescent="0.25">
      <c r="A32" s="75" t="s">
        <v>18</v>
      </c>
      <c r="B32" s="77"/>
      <c r="C32" s="64">
        <v>92.492055194421354</v>
      </c>
      <c r="D32" s="65">
        <v>91.055738083245984</v>
      </c>
      <c r="E32" s="65">
        <v>89.241264887762341</v>
      </c>
      <c r="F32" s="65">
        <v>82.713601809643421</v>
      </c>
      <c r="G32" s="65">
        <v>73.133677048774885</v>
      </c>
      <c r="H32" s="65">
        <v>56.229205901331248</v>
      </c>
      <c r="I32" s="66">
        <v>43.695396708102962</v>
      </c>
      <c r="J32" s="24"/>
      <c r="K32" s="24"/>
      <c r="L32" s="72" t="str">
        <f t="shared" si="5"/>
        <v xml:space="preserve">    92.4920551944214, 91.055738083246, 89.2412648877623, 82.7136018096434, 73.1336770487749, 56.2292059013312, 43.695396708103,</v>
      </c>
      <c r="M32" s="75" t="s">
        <v>18</v>
      </c>
      <c r="N32" s="77"/>
      <c r="O32" s="64">
        <v>4.0986250609792014</v>
      </c>
      <c r="P32" s="65">
        <v>4.5926443490712341</v>
      </c>
      <c r="Q32" s="65">
        <v>4.8521598807380544</v>
      </c>
      <c r="R32" s="65">
        <v>5.8188919126166327</v>
      </c>
      <c r="S32" s="65">
        <v>9.5088987825376563</v>
      </c>
      <c r="T32" s="65">
        <v>11.32839542788332</v>
      </c>
      <c r="U32" s="66">
        <v>10.62887090695313</v>
      </c>
      <c r="V32" s="72" t="str">
        <f t="shared" si="6"/>
        <v xml:space="preserve">    4.0986250609792, 4.59264434907123, 4.85215988073805, 5.81889191261663, 9.50889878253766, 11.3283954278833, 10.6288709069531,</v>
      </c>
    </row>
    <row r="33" spans="1:22" ht="15.75" thickBot="1" x14ac:dyDescent="0.25">
      <c r="A33" s="75" t="s">
        <v>19</v>
      </c>
      <c r="B33" s="77"/>
      <c r="C33" s="67">
        <v>92.657174075741665</v>
      </c>
      <c r="D33" s="68">
        <v>91.208050814372243</v>
      </c>
      <c r="E33" s="68">
        <v>89.170455678091372</v>
      </c>
      <c r="F33" s="68">
        <v>84.474616062770011</v>
      </c>
      <c r="G33" s="68">
        <v>75.066668593640316</v>
      </c>
      <c r="H33" s="68">
        <v>58.520340993368222</v>
      </c>
      <c r="I33" s="69">
        <v>44.786141592049418</v>
      </c>
      <c r="J33" s="24"/>
      <c r="K33" s="24"/>
      <c r="L33" s="72" t="str">
        <f t="shared" si="5"/>
        <v xml:space="preserve">    92.6571740757417, 91.2080508143722, 89.1704556780914, 84.47461606277, 75.0666685936403, 58.5203409933682, 44.7861415920494,</v>
      </c>
      <c r="M33" s="75" t="s">
        <v>19</v>
      </c>
      <c r="N33" s="77"/>
      <c r="O33" s="67">
        <v>4.2589004392769629</v>
      </c>
      <c r="P33" s="68">
        <v>4.8517186601265534</v>
      </c>
      <c r="Q33" s="68">
        <v>5.6717673083496472</v>
      </c>
      <c r="R33" s="68">
        <v>5.3079507961921779</v>
      </c>
      <c r="S33" s="68">
        <v>7.7884705615072454</v>
      </c>
      <c r="T33" s="68">
        <v>10.595563377926201</v>
      </c>
      <c r="U33" s="69">
        <v>10.945843294214329</v>
      </c>
      <c r="V33" s="72" t="str">
        <f t="shared" si="6"/>
        <v xml:space="preserve">    4.25890043927696, 4.85171866012655, 5.67176730834965, 5.30795079619218, 7.78847056150725, 10.5955633779262, 10.9458432942143,</v>
      </c>
    </row>
    <row r="35" spans="1:22" ht="15" x14ac:dyDescent="0.2">
      <c r="J35" s="2"/>
      <c r="K35" s="2"/>
      <c r="L35" s="73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3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3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3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3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3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3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3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A33:B33"/>
    <mergeCell ref="M33:N33"/>
    <mergeCell ref="A29:I29"/>
    <mergeCell ref="M29:U29"/>
    <mergeCell ref="A30:B30"/>
    <mergeCell ref="M30:N30"/>
    <mergeCell ref="A31:B31"/>
    <mergeCell ref="M31:N31"/>
    <mergeCell ref="A22:B22"/>
    <mergeCell ref="M22:N22"/>
    <mergeCell ref="A23:I23"/>
    <mergeCell ref="M23:U23"/>
    <mergeCell ref="A32:B32"/>
    <mergeCell ref="M32:N32"/>
    <mergeCell ref="A19:I19"/>
    <mergeCell ref="M19:U19"/>
    <mergeCell ref="A20:B20"/>
    <mergeCell ref="M20:N20"/>
    <mergeCell ref="A21:B21"/>
    <mergeCell ref="M21:N21"/>
    <mergeCell ref="A14:B14"/>
    <mergeCell ref="M14:N14"/>
    <mergeCell ref="A15:B15"/>
    <mergeCell ref="M15:N15"/>
    <mergeCell ref="A16:B16"/>
    <mergeCell ref="M16:N16"/>
    <mergeCell ref="A6:I6"/>
    <mergeCell ref="M6:U6"/>
    <mergeCell ref="A12:I12"/>
    <mergeCell ref="M12:U12"/>
    <mergeCell ref="A13:B13"/>
    <mergeCell ref="M13:N13"/>
    <mergeCell ref="A2:I2"/>
    <mergeCell ref="M2:U2"/>
    <mergeCell ref="A3:B3"/>
    <mergeCell ref="M3:N3"/>
    <mergeCell ref="A5:B5"/>
    <mergeCell ref="M5:N5"/>
    <mergeCell ref="A4:B4"/>
    <mergeCell ref="M4:N4"/>
  </mergeCells>
  <phoneticPr fontId="1" type="noConversion"/>
  <conditionalFormatting sqref="C3:I3 C5:I5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7:I11 C5:I5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 J6:K11 C5:K5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1 J3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1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8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K29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1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1 K3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8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5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4"/>
    <col min="13" max="14" width="15" style="1" customWidth="1"/>
    <col min="15" max="21" width="9" style="1"/>
    <col min="22" max="22" width="9" style="74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0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0"/>
    </row>
    <row r="2" spans="1:22" ht="15.75" thickBot="1" x14ac:dyDescent="0.25">
      <c r="A2" s="78" t="s">
        <v>20</v>
      </c>
      <c r="B2" s="79"/>
      <c r="C2" s="79"/>
      <c r="D2" s="79"/>
      <c r="E2" s="79"/>
      <c r="F2" s="79"/>
      <c r="G2" s="79"/>
      <c r="H2" s="79"/>
      <c r="I2" s="80"/>
      <c r="J2" s="13"/>
      <c r="K2" s="13"/>
      <c r="L2" s="70"/>
      <c r="M2" s="78" t="s">
        <v>20</v>
      </c>
      <c r="N2" s="79"/>
      <c r="O2" s="79"/>
      <c r="P2" s="79"/>
      <c r="Q2" s="79"/>
      <c r="R2" s="79"/>
      <c r="S2" s="79"/>
      <c r="T2" s="79"/>
      <c r="U2" s="80"/>
      <c r="V2" s="70"/>
    </row>
    <row r="3" spans="1:22" ht="15.75" thickBot="1" x14ac:dyDescent="0.25">
      <c r="A3" s="78" t="s">
        <v>6</v>
      </c>
      <c r="B3" s="80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0" t="str">
        <f>"    "&amp;_xlfn.TEXTJOIN(", ",TRUE,C3:I3)&amp;","</f>
        <v xml:space="preserve">    93.1013647753585, 91.3266637254648, 89.7225610371485, 83.857204647099, 76.2429490451186, 60.4027774173364, 47.7409002961387,</v>
      </c>
      <c r="M3" s="78" t="s">
        <v>6</v>
      </c>
      <c r="N3" s="80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0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8" t="s">
        <v>7</v>
      </c>
      <c r="B4" s="80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0" t="str">
        <f>"    "&amp;_xlfn.TEXTJOIN(", ",TRUE,C4:I4)&amp;","</f>
        <v xml:space="preserve">    93.2733587660793, 91.6155877934354, 90.6205330495939, 86.5975138193237, 78.2243502683126, 60.8549929786013, 48.7439337710534,</v>
      </c>
      <c r="M4" s="78" t="s">
        <v>7</v>
      </c>
      <c r="N4" s="80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0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8" t="s">
        <v>12</v>
      </c>
      <c r="B5" s="80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0" t="str">
        <f>"    "&amp;_xlfn.TEXTJOIN(", ",TRUE,C5:I5)&amp;","</f>
        <v xml:space="preserve">    87.5939, 87.6637168141593, 88.1120943952802, 87.9700256922638, 87.4617081462642, 75.2513631894163, 47.7206838582802,</v>
      </c>
      <c r="M5" s="78" t="s">
        <v>12</v>
      </c>
      <c r="N5" s="80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0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8" t="s">
        <v>21</v>
      </c>
      <c r="B6" s="79"/>
      <c r="C6" s="79"/>
      <c r="D6" s="79"/>
      <c r="E6" s="79"/>
      <c r="F6" s="79"/>
      <c r="G6" s="79"/>
      <c r="H6" s="79"/>
      <c r="I6" s="80"/>
      <c r="J6" s="18"/>
      <c r="K6" s="18"/>
      <c r="L6" s="70"/>
      <c r="M6" s="78" t="s">
        <v>21</v>
      </c>
      <c r="N6" s="79"/>
      <c r="O6" s="79"/>
      <c r="P6" s="79"/>
      <c r="Q6" s="79"/>
      <c r="R6" s="79"/>
      <c r="S6" s="79"/>
      <c r="T6" s="79"/>
      <c r="U6" s="80"/>
      <c r="V6" s="70"/>
    </row>
    <row r="7" spans="1:22" ht="15.75" customHeight="1" thickBot="1" x14ac:dyDescent="0.25">
      <c r="A7" s="21" t="s">
        <v>13</v>
      </c>
      <c r="B7" s="19" t="s">
        <v>8</v>
      </c>
      <c r="C7" s="86"/>
      <c r="D7" s="87"/>
      <c r="E7" s="87"/>
      <c r="F7" s="87"/>
      <c r="G7" s="87"/>
      <c r="H7" s="87"/>
      <c r="I7" s="88"/>
      <c r="J7" s="18" cm="1">
        <f t="array" ref="J7">-SUMPRODUCT((D1:H1-C1:G1)*(C7:G7+D7:H7)/2)</f>
        <v>0</v>
      </c>
      <c r="K7" s="18" cm="1">
        <f t="array" ref="K7">-SUMPRODUCT((D1:I1-C1:H1)*(C7:H7+D7:I7)/2)</f>
        <v>0</v>
      </c>
      <c r="L7" s="70" t="str">
        <f>"    "&amp;_xlfn.TEXTJOIN(", ",TRUE,C7:I7)&amp;","</f>
        <v xml:space="preserve">    ,</v>
      </c>
      <c r="M7" s="21" t="s">
        <v>13</v>
      </c>
      <c r="N7" s="19" t="s">
        <v>8</v>
      </c>
      <c r="O7" s="86"/>
      <c r="P7" s="87"/>
      <c r="Q7" s="87"/>
      <c r="R7" s="87"/>
      <c r="S7" s="87"/>
      <c r="T7" s="87"/>
      <c r="U7" s="88"/>
      <c r="V7" s="70" t="str">
        <f t="shared" si="1"/>
        <v xml:space="preserve">    ,</v>
      </c>
    </row>
    <row r="8" spans="1:22" ht="15.75" customHeight="1" thickBot="1" x14ac:dyDescent="0.25">
      <c r="A8" s="21" t="s">
        <v>14</v>
      </c>
      <c r="B8" s="19" t="s">
        <v>8</v>
      </c>
      <c r="C8" s="89"/>
      <c r="D8" s="90"/>
      <c r="E8" s="90"/>
      <c r="F8" s="90"/>
      <c r="G8" s="90"/>
      <c r="H8" s="90"/>
      <c r="I8" s="91"/>
      <c r="J8" s="18" cm="1">
        <f t="array" ref="J8">-SUMPRODUCT((D1:H1-C1:G1)*(C8:G8+D8:H8)/2)</f>
        <v>0</v>
      </c>
      <c r="K8" s="18" cm="1">
        <f t="array" ref="K8">-SUMPRODUCT((D1:I1-C1:H1)*(C8:H8+D8:I8)/2)</f>
        <v>0</v>
      </c>
      <c r="L8" s="70" t="str">
        <f>"    "&amp;_xlfn.TEXTJOIN(", ",TRUE,C8:I8)&amp;","</f>
        <v xml:space="preserve">    ,</v>
      </c>
      <c r="M8" s="21" t="s">
        <v>14</v>
      </c>
      <c r="N8" s="19" t="s">
        <v>8</v>
      </c>
      <c r="O8" s="89"/>
      <c r="P8" s="90"/>
      <c r="Q8" s="90"/>
      <c r="R8" s="90"/>
      <c r="S8" s="90"/>
      <c r="T8" s="90"/>
      <c r="U8" s="91"/>
      <c r="V8" s="70" t="str">
        <f t="shared" si="1"/>
        <v xml:space="preserve">    ,</v>
      </c>
    </row>
    <row r="9" spans="1:22" ht="15.75" customHeight="1" thickBot="1" x14ac:dyDescent="0.25">
      <c r="A9" s="21" t="s">
        <v>15</v>
      </c>
      <c r="B9" s="19" t="s">
        <v>8</v>
      </c>
      <c r="C9" s="89"/>
      <c r="D9" s="90"/>
      <c r="E9" s="90"/>
      <c r="F9" s="90"/>
      <c r="G9" s="90"/>
      <c r="H9" s="90"/>
      <c r="I9" s="91"/>
      <c r="J9" s="18" cm="1">
        <f t="array" ref="J9">-SUMPRODUCT((D1:H1-C1:G1)*(C9:G9+D9:H9)/2)</f>
        <v>0</v>
      </c>
      <c r="K9" s="18" cm="1">
        <f t="array" ref="K9">-SUMPRODUCT((D1:I1-C1:H1)*(C9:H9+D9:I9)/2)</f>
        <v>0</v>
      </c>
      <c r="L9" s="70" t="str">
        <f>"    "&amp;_xlfn.TEXTJOIN(", ",TRUE,C9:I9)&amp;","</f>
        <v xml:space="preserve">    ,</v>
      </c>
      <c r="M9" s="21" t="s">
        <v>15</v>
      </c>
      <c r="N9" s="19" t="s">
        <v>8</v>
      </c>
      <c r="O9" s="89"/>
      <c r="P9" s="90"/>
      <c r="Q9" s="90"/>
      <c r="R9" s="90"/>
      <c r="S9" s="90"/>
      <c r="T9" s="90"/>
      <c r="U9" s="91"/>
      <c r="V9" s="70" t="str">
        <f t="shared" si="1"/>
        <v xml:space="preserve">    ,</v>
      </c>
    </row>
    <row r="10" spans="1:22" ht="15.75" customHeight="1" thickBot="1" x14ac:dyDescent="0.25">
      <c r="A10" s="21" t="s">
        <v>16</v>
      </c>
      <c r="B10" s="19" t="s">
        <v>8</v>
      </c>
      <c r="C10" s="89"/>
      <c r="D10" s="90"/>
      <c r="E10" s="90"/>
      <c r="F10" s="90"/>
      <c r="G10" s="90"/>
      <c r="H10" s="90"/>
      <c r="I10" s="91"/>
      <c r="J10" s="18" cm="1">
        <f t="array" ref="J10">-SUMPRODUCT((D1:H1-C1:G1)*(C10:G10+D10:H10)/2)</f>
        <v>0</v>
      </c>
      <c r="K10" s="18" cm="1">
        <f t="array" ref="K10">-SUMPRODUCT((D1:I1-C1:H1)*(C10:H10+D10:I10)/2)</f>
        <v>0</v>
      </c>
      <c r="L10" s="70" t="str">
        <f>"    "&amp;_xlfn.TEXTJOIN(", ",TRUE,C10:I10)&amp;","</f>
        <v xml:space="preserve">    ,</v>
      </c>
      <c r="M10" s="21" t="s">
        <v>16</v>
      </c>
      <c r="N10" s="19" t="s">
        <v>8</v>
      </c>
      <c r="O10" s="89"/>
      <c r="P10" s="90"/>
      <c r="Q10" s="90"/>
      <c r="R10" s="90"/>
      <c r="S10" s="90"/>
      <c r="T10" s="90"/>
      <c r="U10" s="91"/>
      <c r="V10" s="70" t="str">
        <f t="shared" si="1"/>
        <v xml:space="preserve">    ,</v>
      </c>
    </row>
    <row r="11" spans="1:22" ht="15.75" customHeight="1" thickBot="1" x14ac:dyDescent="0.25">
      <c r="A11" s="4" t="s">
        <v>17</v>
      </c>
      <c r="B11" s="19" t="s">
        <v>8</v>
      </c>
      <c r="C11" s="92"/>
      <c r="D11" s="93"/>
      <c r="E11" s="93"/>
      <c r="F11" s="93"/>
      <c r="G11" s="93"/>
      <c r="H11" s="93"/>
      <c r="I11" s="94"/>
      <c r="J11" s="18" cm="1">
        <f t="array" ref="J11">-SUMPRODUCT((D1:H1-C1:G1)*(C11:G11+D11:H11)/2)</f>
        <v>0</v>
      </c>
      <c r="K11" s="18" cm="1">
        <f t="array" ref="K11">-SUMPRODUCT((D1:I1-C1:H1)*(C11:H11+D11:I11)/2)</f>
        <v>0</v>
      </c>
      <c r="L11" s="70" t="str">
        <f>"    "&amp;_xlfn.TEXTJOIN(", ",TRUE,C11:I11)&amp;","</f>
        <v xml:space="preserve">    ,</v>
      </c>
      <c r="M11" s="4" t="s">
        <v>17</v>
      </c>
      <c r="N11" s="19" t="s">
        <v>8</v>
      </c>
      <c r="O11" s="92"/>
      <c r="P11" s="93"/>
      <c r="Q11" s="93"/>
      <c r="R11" s="93"/>
      <c r="S11" s="93"/>
      <c r="T11" s="93"/>
      <c r="U11" s="94"/>
      <c r="V11" s="70" t="str">
        <f t="shared" si="1"/>
        <v xml:space="preserve">    ,</v>
      </c>
    </row>
    <row r="12" spans="1:22" ht="15.75" customHeight="1" thickBot="1" x14ac:dyDescent="0.25">
      <c r="A12" s="78" t="s">
        <v>22</v>
      </c>
      <c r="B12" s="79"/>
      <c r="C12" s="85"/>
      <c r="D12" s="85"/>
      <c r="E12" s="85"/>
      <c r="F12" s="85"/>
      <c r="G12" s="85"/>
      <c r="H12" s="85"/>
      <c r="I12" s="84"/>
      <c r="J12" s="18"/>
      <c r="K12" s="18"/>
      <c r="L12" s="70"/>
      <c r="M12" s="78" t="s">
        <v>22</v>
      </c>
      <c r="N12" s="79"/>
      <c r="O12" s="85"/>
      <c r="P12" s="85"/>
      <c r="Q12" s="85"/>
      <c r="R12" s="85"/>
      <c r="S12" s="85"/>
      <c r="T12" s="85"/>
      <c r="U12" s="84"/>
      <c r="V12" s="70"/>
    </row>
    <row r="13" spans="1:22" ht="15.75" customHeight="1" thickBot="1" x14ac:dyDescent="0.25">
      <c r="A13" s="78" t="s">
        <v>9</v>
      </c>
      <c r="B13" s="80"/>
      <c r="C13" s="52">
        <v>93.782740335124032</v>
      </c>
      <c r="D13" s="53">
        <v>91.948208894540599</v>
      </c>
      <c r="E13" s="53">
        <v>90.212980504444957</v>
      </c>
      <c r="F13" s="53">
        <v>84.630388959535409</v>
      </c>
      <c r="G13" s="53">
        <v>75.371093175546491</v>
      </c>
      <c r="H13" s="53">
        <v>59.627211308056303</v>
      </c>
      <c r="I13" s="54">
        <v>47.844185503334799</v>
      </c>
      <c r="J13" s="18" cm="1">
        <f t="array" ref="J13">-SUMPRODUCT((D1:H1-C1:G1)*(C13:G13+D13:H13)/2)</f>
        <v>78.220843605913544</v>
      </c>
      <c r="K13" s="18" cm="1">
        <f t="array" ref="K13">-SUMPRODUCT((D1:I1-C1:H1)*(C13:H13+D13:I13)/2)</f>
        <v>80.907628526198323</v>
      </c>
      <c r="L13" s="70" t="str">
        <f>"    "&amp;_xlfn.TEXTJOIN(", ",TRUE,C13:I13)&amp;","</f>
        <v xml:space="preserve">    93.782740335124, 91.9482088945406, 90.212980504445, 84.6303889595354, 75.3710931755465, 59.6272113080563, 47.8441855033348,</v>
      </c>
      <c r="M13" s="78" t="s">
        <v>9</v>
      </c>
      <c r="N13" s="80"/>
      <c r="O13" s="52">
        <v>3.5391983918820551</v>
      </c>
      <c r="P13" s="53">
        <v>4.1060038651541966</v>
      </c>
      <c r="Q13" s="53">
        <v>4.774795806468676</v>
      </c>
      <c r="R13" s="53">
        <v>5.3483339064680431</v>
      </c>
      <c r="S13" s="53">
        <v>8.0994903921197494</v>
      </c>
      <c r="T13" s="53">
        <v>10.59987402205407</v>
      </c>
      <c r="U13" s="54">
        <v>8.7604668874903737</v>
      </c>
      <c r="V13" s="70" t="str">
        <f t="shared" ref="V13:V16" si="2">"    "&amp;_xlfn.TEXTJOIN(", ",TRUE,O13:U13)&amp;","</f>
        <v xml:space="preserve">    3.53919839188206, 4.1060038651542, 4.77479580646868, 5.34833390646804, 8.09949039211975, 10.5998740220541, 8.76046688749037,</v>
      </c>
    </row>
    <row r="14" spans="1:22" ht="15.75" customHeight="1" thickBot="1" x14ac:dyDescent="0.25">
      <c r="A14" s="83" t="s">
        <v>10</v>
      </c>
      <c r="B14" s="84"/>
      <c r="C14" s="55">
        <v>93.226230330712227</v>
      </c>
      <c r="D14" s="56">
        <v>91.83329152212967</v>
      </c>
      <c r="E14" s="56">
        <v>90.325291164571794</v>
      </c>
      <c r="F14" s="56">
        <v>85.383492360083878</v>
      </c>
      <c r="G14" s="56">
        <v>76.567000291236639</v>
      </c>
      <c r="H14" s="56">
        <v>59.41454222499042</v>
      </c>
      <c r="I14" s="57">
        <v>50.563407411252108</v>
      </c>
      <c r="J14" s="18" cm="1">
        <f t="array" ref="J14">-SUMPRODUCT((D1:H1-C1:G1)*(C14:G14+D14:H14)/2)</f>
        <v>78.369743178285859</v>
      </c>
      <c r="K14" s="18" cm="1">
        <f t="array" ref="K14">-SUMPRODUCT((D1:I1-C1:H1)*(C14:H14+D14:I14)/2)</f>
        <v>81.11919191919192</v>
      </c>
      <c r="L14" s="70" t="str">
        <f>"    "&amp;_xlfn.TEXTJOIN(", ",TRUE,C14:I14)&amp;","</f>
        <v xml:space="preserve">    93.2262303307122, 91.8332915221297, 90.3252911645718, 85.3834923600839, 76.5670002912366, 59.4145422249904, 50.5634074112521,</v>
      </c>
      <c r="M14" s="78" t="s">
        <v>10</v>
      </c>
      <c r="N14" s="80"/>
      <c r="O14" s="55">
        <v>3.945711842949601</v>
      </c>
      <c r="P14" s="56">
        <v>4.8525950161134093</v>
      </c>
      <c r="Q14" s="56">
        <v>4.4346894499148144</v>
      </c>
      <c r="R14" s="56">
        <v>5.4810029574676529</v>
      </c>
      <c r="S14" s="56">
        <v>8.4636725644600066</v>
      </c>
      <c r="T14" s="56">
        <v>10.788297692871961</v>
      </c>
      <c r="U14" s="57">
        <v>8.7433484877826491</v>
      </c>
      <c r="V14" s="70" t="str">
        <f t="shared" si="2"/>
        <v xml:space="preserve">    3.9457118429496, 4.85259501611341, 4.43468944991481, 5.48100295746765, 8.46367256446001, 10.788297692872, 8.74334848778265,</v>
      </c>
    </row>
    <row r="15" spans="1:22" ht="15.75" customHeight="1" thickBot="1" x14ac:dyDescent="0.25">
      <c r="A15" s="78" t="s">
        <v>18</v>
      </c>
      <c r="B15" s="80"/>
      <c r="C15" s="55">
        <v>93.004922187908207</v>
      </c>
      <c r="D15" s="56">
        <v>91.518502178507859</v>
      </c>
      <c r="E15" s="56">
        <v>89.729420958082102</v>
      </c>
      <c r="F15" s="56">
        <v>83.348607398564567</v>
      </c>
      <c r="G15" s="56">
        <v>74.087719905304837</v>
      </c>
      <c r="H15" s="56">
        <v>57.917332041511322</v>
      </c>
      <c r="I15" s="57">
        <v>48.007794185070807</v>
      </c>
      <c r="J15" s="18" cm="1">
        <f t="array" ref="J15">-SUMPRODUCT((D1:H1-C1:G1)*(C15:G15+D15:H15)/2)</f>
        <v>77.501290236074709</v>
      </c>
      <c r="K15" s="18" cm="1">
        <f t="array" ref="K15">-SUMPRODUCT((D1:I1-C1:H1)*(C15:H15+D15:I15)/2)</f>
        <v>80.14941839173926</v>
      </c>
      <c r="L15" s="70" t="str">
        <f>"    "&amp;_xlfn.TEXTJOIN(", ",TRUE,C15:I15)&amp;","</f>
        <v xml:space="preserve">    93.0049221879082, 91.5185021785079, 89.7294209580821, 83.3486073985646, 74.0877199053048, 57.9173320415113, 48.0077941850708,</v>
      </c>
      <c r="M15" s="78" t="s">
        <v>18</v>
      </c>
      <c r="N15" s="80"/>
      <c r="O15" s="55">
        <v>3.690401528555848</v>
      </c>
      <c r="P15" s="56">
        <v>4.2469367469027457</v>
      </c>
      <c r="Q15" s="56">
        <v>4.4611096369834957</v>
      </c>
      <c r="R15" s="56">
        <v>5.4089286426803449</v>
      </c>
      <c r="S15" s="56">
        <v>9.092124974067179</v>
      </c>
      <c r="T15" s="56">
        <v>10.83557708581068</v>
      </c>
      <c r="U15" s="57">
        <v>9.2904800440053528</v>
      </c>
      <c r="V15" s="70" t="str">
        <f t="shared" si="2"/>
        <v xml:space="preserve">    3.69040152855585, 4.24693674690275, 4.4611096369835, 5.40892864268034, 9.09212497406718, 10.8355770858107, 9.29048004400535,</v>
      </c>
    </row>
    <row r="16" spans="1:22" ht="15.75" customHeight="1" thickBot="1" x14ac:dyDescent="0.25">
      <c r="A16" s="78" t="s">
        <v>19</v>
      </c>
      <c r="B16" s="80"/>
      <c r="C16" s="58">
        <v>93.123279613145442</v>
      </c>
      <c r="D16" s="59">
        <v>91.674385879923975</v>
      </c>
      <c r="E16" s="59">
        <v>89.698688281617194</v>
      </c>
      <c r="F16" s="59">
        <v>84.957067102656595</v>
      </c>
      <c r="G16" s="59">
        <v>75.939082518014857</v>
      </c>
      <c r="H16" s="59">
        <v>59.995092229748238</v>
      </c>
      <c r="I16" s="60">
        <v>48.440303693515233</v>
      </c>
      <c r="J16" s="18" cm="1">
        <f t="array" ref="J16">-SUMPRODUCT((D1:H1-C1:G1)*(C16:G16+D16:H16)/2)</f>
        <v>78.078434213675436</v>
      </c>
      <c r="K16" s="18" cm="1">
        <f t="array" ref="K16">-SUMPRODUCT((D1:I1-C1:H1)*(C16:H16+D16:I16)/2)</f>
        <v>80.789319111757024</v>
      </c>
      <c r="L16" s="70" t="str">
        <f>"    "&amp;_xlfn.TEXTJOIN(", ",TRUE,C16:I16)&amp;","</f>
        <v xml:space="preserve">    93.1232796131454, 91.674385879924, 89.6986882816172, 84.9570671026566, 75.9390825180149, 59.9950922297482, 48.4403036935152,</v>
      </c>
      <c r="M16" s="78" t="s">
        <v>19</v>
      </c>
      <c r="N16" s="80"/>
      <c r="O16" s="58">
        <v>3.8088682011350912</v>
      </c>
      <c r="P16" s="59">
        <v>4.4783864386850611</v>
      </c>
      <c r="Q16" s="59">
        <v>5.0849840192173117</v>
      </c>
      <c r="R16" s="59">
        <v>5.0366327026230584</v>
      </c>
      <c r="S16" s="59">
        <v>7.6643798786674449</v>
      </c>
      <c r="T16" s="59">
        <v>10.05146904627655</v>
      </c>
      <c r="U16" s="60">
        <v>9.821397671709315</v>
      </c>
      <c r="V16" s="70" t="str">
        <f t="shared" si="2"/>
        <v xml:space="preserve">    3.80886820113509, 4.47838643868506, 5.08498401921731, 5.03663270262306, 7.66437987866744, 10.0514690462765, 9.82139767170931,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1"/>
      <c r="M17" s="23"/>
      <c r="N17" s="23"/>
      <c r="O17" s="23"/>
      <c r="P17" s="23"/>
      <c r="Q17" s="23"/>
      <c r="R17" s="23"/>
      <c r="S17" s="23"/>
      <c r="T17" s="23"/>
      <c r="U17" s="23"/>
      <c r="V17" s="71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2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2"/>
    </row>
    <row r="19" spans="1:22" ht="15.75" thickBot="1" x14ac:dyDescent="0.25">
      <c r="A19" s="75" t="s">
        <v>20</v>
      </c>
      <c r="B19" s="76"/>
      <c r="C19" s="76"/>
      <c r="D19" s="76"/>
      <c r="E19" s="76"/>
      <c r="F19" s="76"/>
      <c r="G19" s="76"/>
      <c r="H19" s="76"/>
      <c r="I19" s="77"/>
      <c r="J19" s="14"/>
      <c r="K19" s="14"/>
      <c r="L19" s="72"/>
      <c r="M19" s="75" t="s">
        <v>20</v>
      </c>
      <c r="N19" s="76"/>
      <c r="O19" s="76"/>
      <c r="P19" s="76"/>
      <c r="Q19" s="76"/>
      <c r="R19" s="76"/>
      <c r="S19" s="76"/>
      <c r="T19" s="76"/>
      <c r="U19" s="77"/>
      <c r="V19" s="72"/>
    </row>
    <row r="20" spans="1:22" ht="15.75" thickBot="1" x14ac:dyDescent="0.25">
      <c r="A20" s="75" t="s">
        <v>6</v>
      </c>
      <c r="B20" s="77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2" t="str">
        <f>"    "&amp;_xlfn.TEXTJOIN(", ",TRUE,C20:I20)&amp;","</f>
        <v xml:space="preserve">    92.5671117697133, 90.8358586083436, 89.2175053395332, 83.2372459642881, 75.380430844191, 58.9943671875974, 43.6225356413822,</v>
      </c>
      <c r="M20" s="75" t="s">
        <v>2</v>
      </c>
      <c r="N20" s="77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2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5" t="s">
        <v>7</v>
      </c>
      <c r="B21" s="77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2" t="str">
        <f>"    "&amp;_xlfn.TEXTJOIN(", ",TRUE,C21:I21)&amp;","</f>
        <v xml:space="preserve">    92.8669502180425, 91.2426907647456, 90.1370532276984, 86.0801529266134, 77.4102172551968, 59.6761947649801, 46.3954904194042,</v>
      </c>
      <c r="M21" s="75" t="s">
        <v>7</v>
      </c>
      <c r="N21" s="77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2" t="str">
        <f t="shared" ref="V21:V28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5" t="s">
        <v>12</v>
      </c>
      <c r="B22" s="77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2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75" t="s">
        <v>12</v>
      </c>
      <c r="N22" s="77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2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5" t="s">
        <v>21</v>
      </c>
      <c r="B23" s="76"/>
      <c r="C23" s="76"/>
      <c r="D23" s="76"/>
      <c r="E23" s="76"/>
      <c r="F23" s="76"/>
      <c r="G23" s="76"/>
      <c r="H23" s="76"/>
      <c r="I23" s="77"/>
      <c r="J23" s="24"/>
      <c r="K23" s="24"/>
      <c r="L23" s="72"/>
      <c r="M23" s="75" t="s">
        <v>21</v>
      </c>
      <c r="N23" s="76"/>
      <c r="O23" s="76"/>
      <c r="P23" s="76"/>
      <c r="Q23" s="76"/>
      <c r="R23" s="76"/>
      <c r="S23" s="76"/>
      <c r="T23" s="76"/>
      <c r="U23" s="77"/>
      <c r="V23" s="72"/>
    </row>
    <row r="24" spans="1:22" ht="15.75" thickBot="1" x14ac:dyDescent="0.25">
      <c r="A24" s="28" t="s">
        <v>13</v>
      </c>
      <c r="B24" s="20" t="s">
        <v>8</v>
      </c>
      <c r="C24" s="95"/>
      <c r="D24" s="96"/>
      <c r="E24" s="96"/>
      <c r="F24" s="96"/>
      <c r="G24" s="96"/>
      <c r="H24" s="96"/>
      <c r="I24" s="97"/>
      <c r="J24" s="24"/>
      <c r="K24" s="24"/>
      <c r="L24" s="72" t="str">
        <f t="shared" si="4"/>
        <v xml:space="preserve">    ,</v>
      </c>
      <c r="M24" s="28" t="s">
        <v>13</v>
      </c>
      <c r="N24" s="20" t="s">
        <v>8</v>
      </c>
      <c r="O24" s="95"/>
      <c r="P24" s="96"/>
      <c r="Q24" s="96"/>
      <c r="R24" s="96"/>
      <c r="S24" s="96"/>
      <c r="T24" s="96"/>
      <c r="U24" s="97"/>
      <c r="V24" s="72" t="str">
        <f t="shared" si="3"/>
        <v xml:space="preserve">    ,</v>
      </c>
    </row>
    <row r="25" spans="1:22" ht="15.75" thickBot="1" x14ac:dyDescent="0.25">
      <c r="A25" s="28" t="s">
        <v>14</v>
      </c>
      <c r="B25" s="20" t="s">
        <v>8</v>
      </c>
      <c r="C25" s="98"/>
      <c r="D25" s="99"/>
      <c r="E25" s="99"/>
      <c r="F25" s="99"/>
      <c r="G25" s="99"/>
      <c r="H25" s="99"/>
      <c r="I25" s="100"/>
      <c r="J25" s="24"/>
      <c r="K25" s="24"/>
      <c r="L25" s="72" t="str">
        <f t="shared" si="4"/>
        <v xml:space="preserve">    ,</v>
      </c>
      <c r="M25" s="28" t="s">
        <v>14</v>
      </c>
      <c r="N25" s="20" t="s">
        <v>8</v>
      </c>
      <c r="O25" s="98"/>
      <c r="P25" s="99"/>
      <c r="Q25" s="99"/>
      <c r="R25" s="99"/>
      <c r="S25" s="99"/>
      <c r="T25" s="99"/>
      <c r="U25" s="100"/>
      <c r="V25" s="72" t="str">
        <f t="shared" si="3"/>
        <v xml:space="preserve">    ,</v>
      </c>
    </row>
    <row r="26" spans="1:22" ht="15.75" thickBot="1" x14ac:dyDescent="0.25">
      <c r="A26" s="28" t="s">
        <v>15</v>
      </c>
      <c r="B26" s="20" t="s">
        <v>8</v>
      </c>
      <c r="C26" s="98"/>
      <c r="D26" s="99"/>
      <c r="E26" s="99"/>
      <c r="F26" s="99"/>
      <c r="G26" s="99"/>
      <c r="H26" s="99"/>
      <c r="I26" s="100"/>
      <c r="J26" s="24"/>
      <c r="K26" s="24"/>
      <c r="L26" s="72" t="str">
        <f t="shared" si="4"/>
        <v xml:space="preserve">    ,</v>
      </c>
      <c r="M26" s="28" t="s">
        <v>15</v>
      </c>
      <c r="N26" s="20" t="s">
        <v>8</v>
      </c>
      <c r="O26" s="98"/>
      <c r="P26" s="99"/>
      <c r="Q26" s="99"/>
      <c r="R26" s="99"/>
      <c r="S26" s="99"/>
      <c r="T26" s="99"/>
      <c r="U26" s="100"/>
      <c r="V26" s="72" t="str">
        <f t="shared" si="3"/>
        <v xml:space="preserve">    ,</v>
      </c>
    </row>
    <row r="27" spans="1:22" ht="15.75" thickBot="1" x14ac:dyDescent="0.25">
      <c r="A27" s="28" t="s">
        <v>16</v>
      </c>
      <c r="B27" s="20" t="s">
        <v>8</v>
      </c>
      <c r="C27" s="98"/>
      <c r="D27" s="99"/>
      <c r="E27" s="99"/>
      <c r="F27" s="99"/>
      <c r="G27" s="99"/>
      <c r="H27" s="99"/>
      <c r="I27" s="100"/>
      <c r="J27" s="24"/>
      <c r="K27" s="24"/>
      <c r="L27" s="72" t="str">
        <f t="shared" si="4"/>
        <v xml:space="preserve">    ,</v>
      </c>
      <c r="M27" s="28" t="s">
        <v>16</v>
      </c>
      <c r="N27" s="20" t="s">
        <v>8</v>
      </c>
      <c r="O27" s="98"/>
      <c r="P27" s="99"/>
      <c r="Q27" s="99"/>
      <c r="R27" s="99"/>
      <c r="S27" s="99"/>
      <c r="T27" s="99"/>
      <c r="U27" s="100"/>
      <c r="V27" s="72" t="str">
        <f t="shared" si="3"/>
        <v xml:space="preserve">    ,</v>
      </c>
    </row>
    <row r="28" spans="1:22" ht="15.75" thickBot="1" x14ac:dyDescent="0.25">
      <c r="A28" s="29" t="s">
        <v>17</v>
      </c>
      <c r="B28" s="20" t="s">
        <v>8</v>
      </c>
      <c r="C28" s="101"/>
      <c r="D28" s="102"/>
      <c r="E28" s="102"/>
      <c r="F28" s="102"/>
      <c r="G28" s="102"/>
      <c r="H28" s="102"/>
      <c r="I28" s="103"/>
      <c r="J28" s="24"/>
      <c r="K28" s="24"/>
      <c r="L28" s="72" t="str">
        <f t="shared" si="4"/>
        <v xml:space="preserve">    ,</v>
      </c>
      <c r="M28" s="29" t="s">
        <v>17</v>
      </c>
      <c r="N28" s="20" t="s">
        <v>8</v>
      </c>
      <c r="O28" s="101"/>
      <c r="P28" s="102"/>
      <c r="Q28" s="102"/>
      <c r="R28" s="102"/>
      <c r="S28" s="102"/>
      <c r="T28" s="102"/>
      <c r="U28" s="103"/>
      <c r="V28" s="72" t="str">
        <f t="shared" si="3"/>
        <v xml:space="preserve">    ,</v>
      </c>
    </row>
    <row r="29" spans="1:22" ht="15.75" thickBot="1" x14ac:dyDescent="0.25">
      <c r="A29" s="75" t="s">
        <v>22</v>
      </c>
      <c r="B29" s="76"/>
      <c r="C29" s="81"/>
      <c r="D29" s="81"/>
      <c r="E29" s="81"/>
      <c r="F29" s="81"/>
      <c r="G29" s="81"/>
      <c r="H29" s="81"/>
      <c r="I29" s="82"/>
      <c r="J29" s="24"/>
      <c r="K29" s="24"/>
      <c r="L29" s="72"/>
      <c r="M29" s="75" t="s">
        <v>22</v>
      </c>
      <c r="N29" s="76"/>
      <c r="O29" s="81"/>
      <c r="P29" s="81"/>
      <c r="Q29" s="81"/>
      <c r="R29" s="81"/>
      <c r="S29" s="81"/>
      <c r="T29" s="81"/>
      <c r="U29" s="82"/>
      <c r="V29" s="72"/>
    </row>
    <row r="30" spans="1:22" ht="14.25" customHeight="1" thickBot="1" x14ac:dyDescent="0.25">
      <c r="A30" s="75" t="s">
        <v>9</v>
      </c>
      <c r="B30" s="77"/>
      <c r="C30" s="61">
        <v>93.403798109785029</v>
      </c>
      <c r="D30" s="62">
        <v>91.51700700493744</v>
      </c>
      <c r="E30" s="62">
        <v>89.749880462689262</v>
      </c>
      <c r="F30" s="62">
        <v>83.99730958119234</v>
      </c>
      <c r="G30" s="62">
        <v>74.394962965986878</v>
      </c>
      <c r="H30" s="62">
        <v>58.095582470498513</v>
      </c>
      <c r="I30" s="63">
        <v>44.434812706207254</v>
      </c>
      <c r="J30" s="24"/>
      <c r="K30" s="24"/>
      <c r="L30" s="72" t="str">
        <f t="shared" ref="L30:L33" si="5">"    "&amp;_xlfn.TEXTJOIN(", ",TRUE,C30:I30)&amp;","</f>
        <v xml:space="preserve">    93.403798109785, 91.5170070049374, 89.7498804626893, 83.9973095811923, 74.3949629659869, 58.0955824704985, 44.4348127062073,</v>
      </c>
      <c r="M30" s="75" t="s">
        <v>9</v>
      </c>
      <c r="N30" s="77"/>
      <c r="O30" s="61">
        <v>3.9553866501853321</v>
      </c>
      <c r="P30" s="62">
        <v>4.517630835861226</v>
      </c>
      <c r="Q30" s="62">
        <v>5.2125425794506972</v>
      </c>
      <c r="R30" s="62">
        <v>5.6477461387684551</v>
      </c>
      <c r="S30" s="62">
        <v>8.6090564713117175</v>
      </c>
      <c r="T30" s="62">
        <v>11.357157347254571</v>
      </c>
      <c r="U30" s="63">
        <v>9.3757621724255777</v>
      </c>
      <c r="V30" s="72" t="str">
        <f t="shared" ref="V30:V33" si="6">"    "&amp;_xlfn.TEXTJOIN(", ",TRUE,O30:U30)&amp;","</f>
        <v xml:space="preserve">    3.95538665018533, 4.51763083586123, 5.2125425794507, 5.64774613876846, 8.60905647131172, 11.3571573472546, 9.37576217242558,</v>
      </c>
    </row>
    <row r="31" spans="1:22" ht="15.75" thickBot="1" x14ac:dyDescent="0.25">
      <c r="A31" s="75" t="s">
        <v>10</v>
      </c>
      <c r="B31" s="77"/>
      <c r="C31" s="64">
        <v>92.778947400409621</v>
      </c>
      <c r="D31" s="65">
        <v>91.450368996373655</v>
      </c>
      <c r="E31" s="65">
        <v>89.879480954542075</v>
      </c>
      <c r="F31" s="65">
        <v>84.748756470336986</v>
      </c>
      <c r="G31" s="65">
        <v>75.627608782580538</v>
      </c>
      <c r="H31" s="65">
        <v>58.300265665116903</v>
      </c>
      <c r="I31" s="66">
        <v>48.584106437626268</v>
      </c>
      <c r="J31" s="24"/>
      <c r="K31" s="24"/>
      <c r="L31" s="72" t="str">
        <f t="shared" si="5"/>
        <v xml:space="preserve">    92.7789474004096, 91.4503689963737, 89.8794809545421, 84.748756470337, 75.6276087825805, 58.3002656651169, 48.5841064376263,</v>
      </c>
      <c r="M31" s="75" t="s">
        <v>10</v>
      </c>
      <c r="N31" s="77"/>
      <c r="O31" s="64">
        <v>4.3743918396131134</v>
      </c>
      <c r="P31" s="65">
        <v>5.1779143655465321</v>
      </c>
      <c r="Q31" s="65">
        <v>4.8362705721377752</v>
      </c>
      <c r="R31" s="65">
        <v>5.6797782301447892</v>
      </c>
      <c r="S31" s="65">
        <v>9.0190902977959446</v>
      </c>
      <c r="T31" s="65">
        <v>11.000258135261941</v>
      </c>
      <c r="U31" s="66">
        <v>9.2918474149187738</v>
      </c>
      <c r="V31" s="72" t="str">
        <f t="shared" si="6"/>
        <v xml:space="preserve">    4.37439183961311, 5.17791436554653, 4.83627057213778, 5.67977823014479, 9.01909029779594, 11.0002581352619, 9.29184741491877,</v>
      </c>
    </row>
    <row r="32" spans="1:22" ht="14.25" customHeight="1" thickBot="1" x14ac:dyDescent="0.25">
      <c r="A32" s="75" t="s">
        <v>18</v>
      </c>
      <c r="B32" s="77"/>
      <c r="C32" s="64">
        <v>92.492055194421354</v>
      </c>
      <c r="D32" s="65">
        <v>91.055738083245984</v>
      </c>
      <c r="E32" s="65">
        <v>89.241264887762341</v>
      </c>
      <c r="F32" s="65">
        <v>82.713601809643421</v>
      </c>
      <c r="G32" s="65">
        <v>73.133677048774885</v>
      </c>
      <c r="H32" s="65">
        <v>56.229205901331248</v>
      </c>
      <c r="I32" s="66">
        <v>43.695396708102962</v>
      </c>
      <c r="J32" s="24"/>
      <c r="K32" s="24"/>
      <c r="L32" s="72" t="str">
        <f t="shared" si="5"/>
        <v xml:space="preserve">    92.4920551944214, 91.055738083246, 89.2412648877623, 82.7136018096434, 73.1336770487749, 56.2292059013312, 43.695396708103,</v>
      </c>
      <c r="M32" s="75" t="s">
        <v>18</v>
      </c>
      <c r="N32" s="77"/>
      <c r="O32" s="64">
        <v>4.0986250609792014</v>
      </c>
      <c r="P32" s="65">
        <v>4.5926443490712341</v>
      </c>
      <c r="Q32" s="65">
        <v>4.8521598807380544</v>
      </c>
      <c r="R32" s="65">
        <v>5.8188919126166327</v>
      </c>
      <c r="S32" s="65">
        <v>9.5088987825376563</v>
      </c>
      <c r="T32" s="65">
        <v>11.32839542788332</v>
      </c>
      <c r="U32" s="66">
        <v>10.62887090695313</v>
      </c>
      <c r="V32" s="72" t="str">
        <f t="shared" si="6"/>
        <v xml:space="preserve">    4.0986250609792, 4.59264434907123, 4.85215988073805, 5.81889191261663, 9.50889878253766, 11.3283954278833, 10.6288709069531,</v>
      </c>
    </row>
    <row r="33" spans="1:22" ht="15.75" thickBot="1" x14ac:dyDescent="0.25">
      <c r="A33" s="75" t="s">
        <v>19</v>
      </c>
      <c r="B33" s="77"/>
      <c r="C33" s="67">
        <v>92.657174075741665</v>
      </c>
      <c r="D33" s="68">
        <v>91.208050814372243</v>
      </c>
      <c r="E33" s="68">
        <v>89.170455678091372</v>
      </c>
      <c r="F33" s="68">
        <v>84.474616062770011</v>
      </c>
      <c r="G33" s="68">
        <v>75.066668593640316</v>
      </c>
      <c r="H33" s="68">
        <v>58.520340993368222</v>
      </c>
      <c r="I33" s="69">
        <v>44.786141592049418</v>
      </c>
      <c r="J33" s="24"/>
      <c r="K33" s="24"/>
      <c r="L33" s="72" t="str">
        <f t="shared" si="5"/>
        <v xml:space="preserve">    92.6571740757417, 91.2080508143722, 89.1704556780914, 84.47461606277, 75.0666685936403, 58.5203409933682, 44.7861415920494,</v>
      </c>
      <c r="M33" s="75" t="s">
        <v>19</v>
      </c>
      <c r="N33" s="77"/>
      <c r="O33" s="67">
        <v>4.2589004392769629</v>
      </c>
      <c r="P33" s="68">
        <v>4.8517186601265534</v>
      </c>
      <c r="Q33" s="68">
        <v>5.6717673083496472</v>
      </c>
      <c r="R33" s="68">
        <v>5.3079507961921779</v>
      </c>
      <c r="S33" s="68">
        <v>7.7884705615072454</v>
      </c>
      <c r="T33" s="68">
        <v>10.595563377926201</v>
      </c>
      <c r="U33" s="69">
        <v>10.945843294214329</v>
      </c>
      <c r="V33" s="72" t="str">
        <f t="shared" si="6"/>
        <v xml:space="preserve">    4.25890043927696, 4.85171866012655, 5.67176730834965, 5.30795079619218, 7.78847056150725, 10.5955633779262, 10.9458432942143,</v>
      </c>
    </row>
    <row r="35" spans="1:22" ht="15" x14ac:dyDescent="0.2">
      <c r="J35" s="2"/>
      <c r="K35" s="2"/>
      <c r="L35" s="73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3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3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3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3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3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3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3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M16:N16"/>
    <mergeCell ref="A3:B3"/>
    <mergeCell ref="M3:N3"/>
    <mergeCell ref="A20:B20"/>
    <mergeCell ref="M20:N20"/>
    <mergeCell ref="A13:B13"/>
    <mergeCell ref="A14:B14"/>
    <mergeCell ref="A5:B5"/>
    <mergeCell ref="M5:N5"/>
    <mergeCell ref="A12:I12"/>
    <mergeCell ref="A6:I6"/>
    <mergeCell ref="M12:U12"/>
    <mergeCell ref="A4:B4"/>
    <mergeCell ref="M4:N4"/>
    <mergeCell ref="A29:I29"/>
    <mergeCell ref="A32:B32"/>
    <mergeCell ref="A33:B33"/>
    <mergeCell ref="M29:U29"/>
    <mergeCell ref="M32:N32"/>
    <mergeCell ref="M33:N33"/>
    <mergeCell ref="A30:B30"/>
    <mergeCell ref="A31:B31"/>
    <mergeCell ref="M30:N30"/>
    <mergeCell ref="M31:N31"/>
    <mergeCell ref="M23:U23"/>
    <mergeCell ref="M6:U6"/>
    <mergeCell ref="A2:I2"/>
    <mergeCell ref="M2:U2"/>
    <mergeCell ref="A19:I19"/>
    <mergeCell ref="M19:U19"/>
    <mergeCell ref="A23:I23"/>
    <mergeCell ref="M13:N13"/>
    <mergeCell ref="M14:N14"/>
    <mergeCell ref="A21:B21"/>
    <mergeCell ref="M21:N21"/>
    <mergeCell ref="A22:B22"/>
    <mergeCell ref="M22:N22"/>
    <mergeCell ref="A15:B15"/>
    <mergeCell ref="A16:B16"/>
    <mergeCell ref="M15:N15"/>
  </mergeCells>
  <phoneticPr fontId="1" type="noConversion"/>
  <conditionalFormatting sqref="C3:I3 C5:I5">
    <cfRule type="colorScale" priority="1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7:I11 C5:I5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 J6:K11 C5:K5">
    <cfRule type="colorScale" priority="2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1 J3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8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1">
    <cfRule type="colorScale" priority="2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8">
    <cfRule type="colorScale" priority="2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K29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1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1 K3">
    <cfRule type="colorScale" priority="2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6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8">
    <cfRule type="colorScale" priority="2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2026-04-30T07:27:11Z</dcterms:modified>
</cp:coreProperties>
</file>