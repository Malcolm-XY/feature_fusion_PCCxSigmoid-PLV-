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CC-\"/>
    </mc:Choice>
  </mc:AlternateContent>
  <xr:revisionPtr revIDLastSave="0" documentId="13_ncr:1_{60A2CB9A-1740-43C1-ABAF-4A59570ED336}" xr6:coauthVersionLast="47" xr6:coauthVersionMax="47" xr10:uidLastSave="{00000000-0000-0000-0000-000000000000}"/>
  <bookViews>
    <workbookView xWindow="-28920" yWindow="-120" windowWidth="29040" windowHeight="16440" tabRatio="660" xr2:uid="{00000000-000D-0000-FFFF-FFFF00000000}"/>
  </bookViews>
  <sheets>
    <sheet name="nm_basis_F, nm_modifier_F" sheetId="8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5" l="1"/>
  <c r="L4" i="5"/>
  <c r="K4" i="5" a="1"/>
  <c r="K4" i="5" s="1"/>
  <c r="J4" i="5" a="1"/>
  <c r="J4" i="5" s="1"/>
  <c r="V4" i="8"/>
  <c r="L4" i="8"/>
  <c r="K4" i="8" a="1"/>
  <c r="K4" i="8" s="1"/>
  <c r="J4" i="8" a="1"/>
  <c r="J4" i="8" s="1"/>
  <c r="V33" i="5"/>
  <c r="V32" i="5"/>
  <c r="V31" i="5"/>
  <c r="V30" i="5"/>
  <c r="V28" i="5"/>
  <c r="V27" i="5"/>
  <c r="V26" i="5"/>
  <c r="V25" i="5"/>
  <c r="V24" i="5"/>
  <c r="V22" i="5"/>
  <c r="V21" i="5"/>
  <c r="V20" i="5"/>
  <c r="V16" i="5"/>
  <c r="V15" i="5"/>
  <c r="V14" i="5"/>
  <c r="V13" i="5"/>
  <c r="V11" i="5"/>
  <c r="V10" i="5"/>
  <c r="V9" i="5"/>
  <c r="V8" i="5"/>
  <c r="V7" i="5"/>
  <c r="V5" i="5"/>
  <c r="V3" i="5"/>
  <c r="L33" i="5"/>
  <c r="L32" i="5"/>
  <c r="L31" i="5"/>
  <c r="L30" i="5"/>
  <c r="L28" i="5"/>
  <c r="L27" i="5"/>
  <c r="L26" i="5"/>
  <c r="L25" i="5"/>
  <c r="L24" i="5"/>
  <c r="L22" i="5"/>
  <c r="L21" i="5"/>
  <c r="L20" i="5"/>
  <c r="L16" i="5"/>
  <c r="L15" i="5"/>
  <c r="L14" i="5"/>
  <c r="L13" i="5"/>
  <c r="L11" i="5"/>
  <c r="L10" i="5"/>
  <c r="L9" i="5"/>
  <c r="L8" i="5"/>
  <c r="L7" i="5"/>
  <c r="L5" i="5"/>
  <c r="L3" i="5"/>
  <c r="V22" i="8"/>
  <c r="V24" i="8"/>
  <c r="V25" i="8"/>
  <c r="V26" i="8"/>
  <c r="V27" i="8"/>
  <c r="V28" i="8"/>
  <c r="V5" i="8"/>
  <c r="V7" i="8"/>
  <c r="V8" i="8"/>
  <c r="V9" i="8"/>
  <c r="V10" i="8"/>
  <c r="V11" i="8"/>
  <c r="L22" i="8"/>
  <c r="L24" i="8"/>
  <c r="L25" i="8"/>
  <c r="L26" i="8"/>
  <c r="L27" i="8"/>
  <c r="L28" i="8"/>
  <c r="L5" i="8"/>
  <c r="L7" i="8"/>
  <c r="L8" i="8"/>
  <c r="L9" i="8"/>
  <c r="L10" i="8"/>
  <c r="L11" i="8"/>
  <c r="V33" i="8"/>
  <c r="L33" i="8"/>
  <c r="V32" i="8"/>
  <c r="L32" i="8"/>
  <c r="V31" i="8"/>
  <c r="L31" i="8"/>
  <c r="V30" i="8"/>
  <c r="L30" i="8"/>
  <c r="V21" i="8"/>
  <c r="L21" i="8"/>
  <c r="V20" i="8"/>
  <c r="L20" i="8"/>
  <c r="V16" i="8"/>
  <c r="L16" i="8"/>
  <c r="K16" i="8" a="1"/>
  <c r="K16" i="8" s="1"/>
  <c r="J16" i="8" a="1"/>
  <c r="J16" i="8" s="1"/>
  <c r="V15" i="8"/>
  <c r="L15" i="8"/>
  <c r="K15" i="8" a="1"/>
  <c r="K15" i="8" s="1"/>
  <c r="J15" i="8" a="1"/>
  <c r="J15" i="8" s="1"/>
  <c r="V14" i="8"/>
  <c r="L14" i="8"/>
  <c r="K14" i="8" a="1"/>
  <c r="K14" i="8" s="1"/>
  <c r="J14" i="8" a="1"/>
  <c r="J14" i="8" s="1"/>
  <c r="V13" i="8"/>
  <c r="L13" i="8"/>
  <c r="K13" i="8" a="1"/>
  <c r="K13" i="8" s="1"/>
  <c r="J13" i="8" a="1"/>
  <c r="J13" i="8" s="1"/>
  <c r="K11" i="8" a="1"/>
  <c r="K11" i="8" s="1"/>
  <c r="J11" i="8" a="1"/>
  <c r="J11" i="8" s="1"/>
  <c r="K10" i="8" a="1"/>
  <c r="K10" i="8" s="1"/>
  <c r="J10" i="8" a="1"/>
  <c r="J10" i="8" s="1"/>
  <c r="K9" i="8" a="1"/>
  <c r="K9" i="8" s="1"/>
  <c r="J9" i="8" a="1"/>
  <c r="J9" i="8" s="1"/>
  <c r="K8" i="8" a="1"/>
  <c r="K8" i="8" s="1"/>
  <c r="J8" i="8" a="1"/>
  <c r="J8" i="8" s="1"/>
  <c r="K7" i="8" a="1"/>
  <c r="K7" i="8" s="1"/>
  <c r="J7" i="8" a="1"/>
  <c r="J7" i="8" s="1"/>
  <c r="K5" i="8" a="1"/>
  <c r="K5" i="8" s="1"/>
  <c r="J5" i="8" a="1"/>
  <c r="J5" i="8" s="1"/>
  <c r="V3" i="8"/>
  <c r="L3" i="8"/>
  <c r="K3" i="8" a="1"/>
  <c r="K3" i="8" s="1"/>
  <c r="J3" i="8" a="1"/>
  <c r="J3" i="8" s="1"/>
  <c r="J5" i="5" a="1"/>
  <c r="J5" i="5" s="1"/>
  <c r="K5" i="5" a="1"/>
  <c r="K5" i="5" s="1"/>
  <c r="K7" i="5" a="1"/>
  <c r="K7" i="5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K14" i="5" a="1"/>
  <c r="K14" i="5" s="1"/>
  <c r="J14" i="5" a="1"/>
  <c r="J14" i="5" s="1"/>
  <c r="J16" i="5" a="1"/>
  <c r="J16" i="5" s="1"/>
  <c r="J15" i="5" a="1"/>
  <c r="J15" i="5" s="1"/>
  <c r="J13" i="5" a="1"/>
  <c r="J13" i="5" s="1"/>
  <c r="J3" i="5" a="1"/>
  <c r="J3" i="5" s="1"/>
  <c r="K16" i="5" a="1"/>
  <c r="K16" i="5" s="1"/>
  <c r="K15" i="5" a="1"/>
  <c r="K15" i="5" s="1"/>
  <c r="K13" i="5" a="1"/>
  <c r="K13" i="5" s="1"/>
  <c r="K3" i="5" a="1"/>
  <c r="K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<sst xmlns="http://schemas.openxmlformats.org/spreadsheetml/2006/main" count="180" uniqueCount="23">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</sst>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D2E-BE4A-4A1F-8425-1EB62294D197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9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9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9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9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78"/>
      <c r="C6" s="78"/>
      <c r="D6" s="78"/>
      <c r="E6" s="78"/>
      <c r="F6" s="78"/>
      <c r="G6" s="78"/>
      <c r="H6" s="78"/>
      <c r="I6" s="79"/>
      <c r="J6" s="18"/>
      <c r="K6" s="18"/>
      <c r="L6" s="72"/>
      <c r="M6" s="77" t="s">
        <v>21</v>
      </c>
      <c r="N6" s="78"/>
      <c r="O6" s="78"/>
      <c r="P6" s="78"/>
      <c r="Q6" s="78"/>
      <c r="R6" s="78"/>
      <c r="S6" s="78"/>
      <c r="T6" s="78"/>
      <c r="U6" s="79"/>
      <c r="V6" s="72"/>
    </row>
    <row r="7" spans="1:22" ht="15.75" customHeight="1" thickBot="1" x14ac:dyDescent="0.25">
      <c r="A7" s="21" t="s">
        <v>13</v>
      </c>
      <c r="B7" s="19" t="s">
        <v>8</v>
      </c>
      <c r="C7" s="35">
        <v>89.933136676499529</v>
      </c>
      <c r="D7" s="36">
        <v>89.873231313996357</v>
      </c>
      <c r="E7" s="36">
        <v>90.251720747295977</v>
      </c>
      <c r="F7" s="36">
        <v>90.087742973555123</v>
      </c>
      <c r="G7" s="36">
        <v>89.694319731716277</v>
      </c>
      <c r="H7" s="36">
        <v>78.546870359316841</v>
      </c>
      <c r="I7" s="37">
        <v>54.048007912409858</v>
      </c>
      <c r="J7" s="18" cm="1">
        <f t="array" ref="J7">-SUMPRODUCT((D1:H1-C1:G1)*(C7:G7+D7:H7)/2)</f>
        <v>80.426524018373868</v>
      </c>
      <c r="K7" s="18" cm="1">
        <f t="array" ref="K7">-SUMPRODUCT((D1:I1-C1:H1)*(C7:H7+D7:I7)/2)</f>
        <v>83.741395975167038</v>
      </c>
      <c r="L7" s="72" t="str">
        <f>"    "&amp;_xlfn.TEXTJOIN(", ",TRUE,C7:I7)&amp;","</f>
        <v xml:space="preserve">    89.9331366764995, 89.8732313139964, 90.251720747296, 90.0877429735551, 89.6943197317163, 78.5468703593168, 54.0480079124099,</v>
      </c>
      <c r="M7" s="21" t="s">
        <v>13</v>
      </c>
      <c r="N7" s="19" t="s">
        <v>8</v>
      </c>
      <c r="O7" s="35">
        <v>2.0598186375665342</v>
      </c>
      <c r="P7" s="36">
        <v>2.528752672405493</v>
      </c>
      <c r="Q7" s="36">
        <v>2.4074692328089591</v>
      </c>
      <c r="R7" s="36">
        <v>2.0101416927639142</v>
      </c>
      <c r="S7" s="36">
        <v>2.0562730856240039</v>
      </c>
      <c r="T7" s="36">
        <v>3.5883198406553891</v>
      </c>
      <c r="U7" s="37">
        <v>6.3599906692460868</v>
      </c>
      <c r="V7" s="72" t="str">
        <f t="shared" si="1"/>
        <v xml:space="preserve">    2.05981863756653, 2.52875267240549, 2.40746923280896, 2.01014169276391, 2.056273085624, 3.58831984065539, 6.35999066924609,</v>
      </c>
    </row>
    <row r="8" spans="1:22" ht="15.75" customHeight="1" thickBot="1" x14ac:dyDescent="0.25">
      <c r="A8" s="21" t="s">
        <v>14</v>
      </c>
      <c r="B8" s="19" t="s">
        <v>8</v>
      </c>
      <c r="C8" s="38">
        <v>90.269419862340229</v>
      </c>
      <c r="D8" s="70">
        <v>90.447400064014388</v>
      </c>
      <c r="E8" s="70">
        <v>90.580137659783674</v>
      </c>
      <c r="F8" s="70">
        <v>90.609641951919983</v>
      </c>
      <c r="G8" s="70">
        <v>89.799361009466651</v>
      </c>
      <c r="H8" s="70">
        <v>80.210151760251662</v>
      </c>
      <c r="I8" s="39">
        <v>52.500598332742207</v>
      </c>
      <c r="J8" s="18" cm="1">
        <f t="array" ref="J8">-SUMPRODUCT((D1:H1-C1:G1)*(C8:G8+D8:H8)/2)</f>
        <v>80.857948453994695</v>
      </c>
      <c r="K8" s="18" cm="1">
        <f t="array" ref="K8">-SUMPRODUCT((D1:I1-C1:H1)*(C8:H8+D8:I8)/2)</f>
        <v>84.175717206319547</v>
      </c>
      <c r="L8" s="72" t="str">
        <f>"    "&amp;_xlfn.TEXTJOIN(", ",TRUE,C8:I8)&amp;","</f>
        <v xml:space="preserve">    90.2694198623402, 90.4474000640144, 90.5801376597837, 90.60964195192, 89.7993610094667, 80.2101517602517, 52.5005983327422,</v>
      </c>
      <c r="M8" s="21" t="s">
        <v>14</v>
      </c>
      <c r="N8" s="19" t="s">
        <v>8</v>
      </c>
      <c r="O8" s="38">
        <v>2.5071517436168782</v>
      </c>
      <c r="P8" s="70">
        <v>2.4362352891262509</v>
      </c>
      <c r="Q8" s="70">
        <v>2.166168552661198</v>
      </c>
      <c r="R8" s="70">
        <v>2.2813080140162332</v>
      </c>
      <c r="S8" s="70">
        <v>1.930556485862887</v>
      </c>
      <c r="T8" s="70">
        <v>3.492288096752755</v>
      </c>
      <c r="U8" s="39">
        <v>6.0147661270766806</v>
      </c>
      <c r="V8" s="72" t="str">
        <f t="shared" si="1"/>
        <v xml:space="preserve">    2.50715174361688, 2.43623528912625, 2.1661685526612, 2.28130801401623, 1.93055648586289, 3.49228809675275, 6.01476612707668,</v>
      </c>
    </row>
    <row r="9" spans="1:22" ht="15.75" customHeight="1" thickBot="1" x14ac:dyDescent="0.25">
      <c r="A9" s="21" t="s">
        <v>15</v>
      </c>
      <c r="B9" s="19" t="s">
        <v>8</v>
      </c>
      <c r="C9" s="38">
        <v>90.207472959685347</v>
      </c>
      <c r="D9" s="70">
        <v>90.476892822025562</v>
      </c>
      <c r="E9" s="70">
        <v>90.685349065880033</v>
      </c>
      <c r="F9" s="70">
        <v>90.641141647707471</v>
      </c>
      <c r="G9" s="70">
        <v>89.631859560492146</v>
      </c>
      <c r="H9" s="70">
        <v>80.434458775594933</v>
      </c>
      <c r="I9" s="39">
        <v>54.493199191457833</v>
      </c>
      <c r="J9" s="18" cm="1">
        <f t="array" ref="J9">-SUMPRODUCT((D1:H1-C1:G1)*(C9:G9+D9:H9)/2)</f>
        <v>80.880441007275152</v>
      </c>
      <c r="K9" s="18" cm="1">
        <f t="array" ref="K9">-SUMPRODUCT((D1:I1-C1:H1)*(C9:H9+D9:I9)/2)</f>
        <v>84.25363245645147</v>
      </c>
      <c r="L9" s="72" t="str">
        <f>"    "&amp;_xlfn.TEXTJOIN(", ",TRUE,C9:I9)&amp;","</f>
        <v xml:space="preserve">    90.2074729596853, 90.4768928220256, 90.68534906588, 90.6411416477075, 89.6318595604921, 80.4344587755949, 54.4931991914578,</v>
      </c>
      <c r="M9" s="21" t="s">
        <v>15</v>
      </c>
      <c r="N9" s="19" t="s">
        <v>8</v>
      </c>
      <c r="O9" s="38">
        <v>2.5417218685172829</v>
      </c>
      <c r="P9" s="70">
        <v>2.3490296599999958</v>
      </c>
      <c r="Q9" s="70">
        <v>2.2526868636271922</v>
      </c>
      <c r="R9" s="70">
        <v>2.28287004156144</v>
      </c>
      <c r="S9" s="70">
        <v>2.4576735508142069</v>
      </c>
      <c r="T9" s="70">
        <v>3.8076893696435872</v>
      </c>
      <c r="U9" s="39">
        <v>6.9482443370116709</v>
      </c>
      <c r="V9" s="72" t="str">
        <f t="shared" si="1"/>
        <v xml:space="preserve">    2.54172186851728, 2.34902966, 2.25268686362719, 2.28287004156144, 2.45767355081421, 3.80768936964359, 6.94824433701167,</v>
      </c>
    </row>
    <row r="10" spans="1:22" ht="15.75" customHeight="1" thickBot="1" x14ac:dyDescent="0.25">
      <c r="A10" s="21" t="s">
        <v>16</v>
      </c>
      <c r="B10" s="19" t="s">
        <v>8</v>
      </c>
      <c r="C10" s="38">
        <v>90.324483775811217</v>
      </c>
      <c r="D10" s="70">
        <v>90.326450344149464</v>
      </c>
      <c r="E10" s="70">
        <v>90.71780897758633</v>
      </c>
      <c r="F10" s="70">
        <v>90.619642038425951</v>
      </c>
      <c r="G10" s="70">
        <v>89.693595965363016</v>
      </c>
      <c r="H10" s="70">
        <v>80.854021228557329</v>
      </c>
      <c r="I10" s="39">
        <v>54.356695703826738</v>
      </c>
      <c r="J10" s="18" cm="1">
        <f t="array" ref="J10">-SUMPRODUCT((D1:H1-C1:G1)*(C10:G10+D10:H10)/2)</f>
        <v>80.888687041698759</v>
      </c>
      <c r="K10" s="18" cm="1">
        <f t="array" ref="K10">-SUMPRODUCT((D1:I1-C1:H1)*(C10:H10+D10:I10)/2)</f>
        <v>84.268954965008362</v>
      </c>
      <c r="L10" s="72" t="str">
        <f>"    "&amp;_xlfn.TEXTJOIN(", ",TRUE,C10:I10)&amp;","</f>
        <v xml:space="preserve">    90.3244837758112, 90.3264503441495, 90.7178089775863, 90.619642038426, 89.693595965363, 80.8540212285573, 54.3566957038267,</v>
      </c>
      <c r="M10" s="21" t="s">
        <v>16</v>
      </c>
      <c r="N10" s="19" t="s">
        <v>8</v>
      </c>
      <c r="O10" s="38">
        <v>2.4612095765290198</v>
      </c>
      <c r="P10" s="70">
        <v>2.525321086836271</v>
      </c>
      <c r="Q10" s="70">
        <v>2.403985775181396</v>
      </c>
      <c r="R10" s="70">
        <v>2.5156858704454259</v>
      </c>
      <c r="S10" s="70">
        <v>2.319355412027718</v>
      </c>
      <c r="T10" s="70">
        <v>3.0098935512816571</v>
      </c>
      <c r="U10" s="39">
        <v>5.7680017446574174</v>
      </c>
      <c r="V10" s="72" t="str">
        <f t="shared" si="1"/>
        <v xml:space="preserve">    2.46120957652902, 2.52532108683627, 2.4039857751814, 2.51568587044543, 2.31935541202772, 3.00989355128166, 5.76800174465742,</v>
      </c>
    </row>
    <row r="11" spans="1:22" ht="15.75" customHeight="1" thickBot="1" x14ac:dyDescent="0.25">
      <c r="A11" s="4" t="s">
        <v>17</v>
      </c>
      <c r="B11" s="19" t="s">
        <v>8</v>
      </c>
      <c r="C11" s="40">
        <v>90.295968534906564</v>
      </c>
      <c r="D11" s="41">
        <v>90.405113077679459</v>
      </c>
      <c r="E11" s="41">
        <v>90.529243332554771</v>
      </c>
      <c r="F11" s="41">
        <v>90.464208167890718</v>
      </c>
      <c r="G11" s="41">
        <v>89.370346340942973</v>
      </c>
      <c r="H11" s="41">
        <v>80.495811670804514</v>
      </c>
      <c r="I11" s="42">
        <v>54.200509231625418</v>
      </c>
      <c r="J11" s="18" cm="1">
        <f t="array" ref="J11">-SUMPRODUCT((D1:H1-C1:G1)*(C11:G11+D11:H11)/2)</f>
        <v>80.788810528926135</v>
      </c>
      <c r="K11" s="18" cm="1">
        <f t="array" ref="K11">-SUMPRODUCT((D1:I1-C1:H1)*(C11:H11+D11:I11)/2)</f>
        <v>84.156218551486887</v>
      </c>
      <c r="L11" s="72" t="str">
        <f>"    "&amp;_xlfn.TEXTJOIN(", ",TRUE,C11:I11)&amp;","</f>
        <v xml:space="preserve">    90.2959685349066, 90.4051130776795, 90.5292433325548, 90.4642081678907, 89.370346340943, 80.4958116708045, 54.2005092316254,</v>
      </c>
      <c r="M11" s="4" t="s">
        <v>17</v>
      </c>
      <c r="N11" s="19" t="s">
        <v>8</v>
      </c>
      <c r="O11" s="40">
        <v>2.645635465917767</v>
      </c>
      <c r="P11" s="41">
        <v>2.349990742414489</v>
      </c>
      <c r="Q11" s="41">
        <v>2.284121152514234</v>
      </c>
      <c r="R11" s="41">
        <v>2.4722451039664972</v>
      </c>
      <c r="S11" s="41">
        <v>2.569604191233966</v>
      </c>
      <c r="T11" s="41">
        <v>3.931910154117956</v>
      </c>
      <c r="U11" s="42">
        <v>6.3131910290344502</v>
      </c>
      <c r="V11" s="72" t="str">
        <f t="shared" si="1"/>
        <v xml:space="preserve">    2.64563546591777, 2.34999074241449, 2.28412115251423, 2.4722451039665, 2.56960419123397, 3.93191015411796, 6.31319102903445,</v>
      </c>
    </row>
    <row r="12" spans="1:22" ht="15.75" customHeight="1" thickBot="1" x14ac:dyDescent="0.25">
      <c r="A12" s="77" t="s">
        <v>22</v>
      </c>
      <c r="B12" s="78"/>
      <c r="C12" s="80"/>
      <c r="D12" s="80"/>
      <c r="E12" s="80"/>
      <c r="F12" s="80"/>
      <c r="G12" s="80"/>
      <c r="H12" s="80"/>
      <c r="I12" s="81"/>
      <c r="J12" s="18"/>
      <c r="K12" s="18"/>
      <c r="L12" s="72"/>
      <c r="M12" s="77" t="s">
        <v>22</v>
      </c>
      <c r="N12" s="78"/>
      <c r="O12" s="80"/>
      <c r="P12" s="80"/>
      <c r="Q12" s="80"/>
      <c r="R12" s="80"/>
      <c r="S12" s="80"/>
      <c r="T12" s="80"/>
      <c r="U12" s="81"/>
      <c r="V12" s="72"/>
    </row>
    <row r="13" spans="1:22" ht="15.75" customHeight="1" thickBot="1" x14ac:dyDescent="0.25">
      <c r="A13" s="77" t="s">
        <v>9</v>
      </c>
      <c r="B13" s="79"/>
      <c r="C13" s="52">
        <v>92.969518190757128</v>
      </c>
      <c r="D13" s="53">
        <v>91.851524090462149</v>
      </c>
      <c r="E13" s="53">
        <v>90.756145526057011</v>
      </c>
      <c r="F13" s="53">
        <v>87.253136561158271</v>
      </c>
      <c r="G13" s="53">
        <v>81.178972136437139</v>
      </c>
      <c r="H13" s="53">
        <v>57.386929529378847</v>
      </c>
      <c r="I13" s="54">
        <v>44.855442809482213</v>
      </c>
      <c r="J13" s="18" cm="1">
        <f t="array" ref="J13">-SUMPRODUCT((D1:H1-C1:G1)*(C13:G13+D13:H13)/2)</f>
        <v>79.079417714109411</v>
      </c>
      <c r="K13" s="18" cm="1">
        <f t="array" ref="K13">-SUMPRODUCT((D1:I1-C1:H1)*(C13:H13+D13:I13)/2)</f>
        <v>81.635477022580943</v>
      </c>
      <c r="L13" s="72" t="str">
        <f>"    "&amp;_xlfn.TEXTJOIN(", ",TRUE,C13:I13)&amp;","</f>
        <v xml:space="preserve">    92.9695181907571, 91.8515240904621, 90.756145526057, 87.2531365611583, 81.1789721364371, 57.3869295293788, 44.8554428094822,</v>
      </c>
      <c r="M13" s="77" t="s">
        <v>9</v>
      </c>
      <c r="N13" s="79"/>
      <c r="O13" s="52">
        <v>3.3991921823554931</v>
      </c>
      <c r="P13" s="53">
        <v>3.6561489783789969</v>
      </c>
      <c r="Q13" s="53">
        <v>3.4316179388806831</v>
      </c>
      <c r="R13" s="53">
        <v>3.3610781227617821</v>
      </c>
      <c r="S13" s="53">
        <v>5.2773835873092807</v>
      </c>
      <c r="T13" s="53">
        <v>8.2027130196510409</v>
      </c>
      <c r="U13" s="54">
        <v>5.203571843512913</v>
      </c>
      <c r="V13" s="72" t="str">
        <f t="shared" ref="V13:V16" si="2">"    "&amp;_xlfn.TEXTJOIN(", ",TRUE,O13:U13)&amp;","</f>
        <v xml:space="preserve">    3.39919218235549, 3.656148978379, 3.43161793888068, 3.36107812276178, 5.27738358730928, 8.20271301965104, 5.20357184351291,</v>
      </c>
    </row>
    <row r="14" spans="1:22" ht="15.75" customHeight="1" thickBot="1" x14ac:dyDescent="0.25">
      <c r="A14" s="82" t="s">
        <v>10</v>
      </c>
      <c r="B14" s="81"/>
      <c r="C14" s="55">
        <v>91.898721730580135</v>
      </c>
      <c r="D14" s="56">
        <v>90.765995668936</v>
      </c>
      <c r="E14" s="56">
        <v>89.705268500015848</v>
      </c>
      <c r="F14" s="56">
        <v>87.959685349065893</v>
      </c>
      <c r="G14" s="56">
        <v>85.750000720882824</v>
      </c>
      <c r="H14" s="56">
        <v>71.387388010853613</v>
      </c>
      <c r="I14" s="57">
        <v>45.596343105620853</v>
      </c>
      <c r="J14" s="18" cm="1">
        <f t="array" ref="J14">-SUMPRODUCT((D1:H1-C1:G1)*(C14:G14+D14:H14)/2)</f>
        <v>79.700846821050931</v>
      </c>
      <c r="K14" s="18" cm="1">
        <f t="array" ref="K14">-SUMPRODUCT((D1:I1-C1:H1)*(C14:H14+D14:I14)/2)</f>
        <v>82.625440098962798</v>
      </c>
      <c r="L14" s="72" t="str">
        <f>"    "&amp;_xlfn.TEXTJOIN(", ",TRUE,C14:I14)&amp;","</f>
        <v xml:space="preserve">    91.8987217305801, 90.765995668936, 89.7052685000158, 87.9596853490659, 85.7500007208828, 71.3873880108536, 45.5963431056209,</v>
      </c>
      <c r="M14" s="77" t="s">
        <v>10</v>
      </c>
      <c r="N14" s="79"/>
      <c r="O14" s="55">
        <v>3.190312271555559</v>
      </c>
      <c r="P14" s="56">
        <v>2.8828036064622768</v>
      </c>
      <c r="Q14" s="56">
        <v>2.5884740771146331</v>
      </c>
      <c r="R14" s="56">
        <v>2.6213450470877251</v>
      </c>
      <c r="S14" s="56">
        <v>3.203569989687661</v>
      </c>
      <c r="T14" s="56">
        <v>4.756712112750666</v>
      </c>
      <c r="U14" s="57">
        <v>2.488810891584841</v>
      </c>
      <c r="V14" s="72" t="str">
        <f t="shared" si="2"/>
        <v xml:space="preserve">    3.19031227155556, 2.88280360646228, 2.58847407711463, 2.62134504708773, 3.20356998968766, 4.75671211275067, 2.48881089158484,</v>
      </c>
    </row>
    <row r="15" spans="1:22" ht="15.75" customHeight="1" thickBot="1" x14ac:dyDescent="0.25">
      <c r="A15" s="77" t="s">
        <v>18</v>
      </c>
      <c r="B15" s="79"/>
      <c r="C15" s="55">
        <v>93.044276622923505</v>
      </c>
      <c r="D15" s="56">
        <v>91.935155148400938</v>
      </c>
      <c r="E15" s="56">
        <v>90.94889229145582</v>
      </c>
      <c r="F15" s="56">
        <v>85.952505356159378</v>
      </c>
      <c r="G15" s="56">
        <v>78.915183810701947</v>
      </c>
      <c r="H15" s="56">
        <v>59.442100133507502</v>
      </c>
      <c r="I15" s="57">
        <v>49.533828147302302</v>
      </c>
      <c r="J15" s="18" cm="1">
        <f t="array" ref="J15">-SUMPRODUCT((D1:H1-C1:G1)*(C15:G15+D15:H15)/2)</f>
        <v>78.834323321712716</v>
      </c>
      <c r="K15" s="18" cm="1">
        <f t="array" ref="K15">-SUMPRODUCT((D1:I1-C1:H1)*(C15:H15+D15:I15)/2)</f>
        <v>81.55872152873296</v>
      </c>
      <c r="L15" s="72" t="str">
        <f>"    "&amp;_xlfn.TEXTJOIN(", ",TRUE,C15:I15)&amp;","</f>
        <v xml:space="preserve">    93.0442766229235, 91.9351551484009, 90.9488922914558, 85.9525053561594, 78.9151838107019, 59.4421001335075, 49.5338281473023,</v>
      </c>
      <c r="M15" s="77" t="s">
        <v>18</v>
      </c>
      <c r="N15" s="79"/>
      <c r="O15" s="55">
        <v>3.72078192123604</v>
      </c>
      <c r="P15" s="56">
        <v>4.0467152776216686</v>
      </c>
      <c r="Q15" s="56">
        <v>4.0235763627769954</v>
      </c>
      <c r="R15" s="56">
        <v>4.4767633212331157</v>
      </c>
      <c r="S15" s="56">
        <v>7.2019016527503927</v>
      </c>
      <c r="T15" s="56">
        <v>10.04668436860082</v>
      </c>
      <c r="U15" s="57">
        <v>9.2355901481835172</v>
      </c>
      <c r="V15" s="72" t="str">
        <f t="shared" si="2"/>
        <v xml:space="preserve">    3.72078192123604, 4.04671527762167, 4.023576362777, 4.47676332123312, 7.20190165275039, 10.0466843686008, 9.23559014818352,</v>
      </c>
    </row>
    <row r="16" spans="1:22" ht="15.75" customHeight="1" thickBot="1" x14ac:dyDescent="0.25">
      <c r="A16" s="77" t="s">
        <v>19</v>
      </c>
      <c r="B16" s="79"/>
      <c r="C16" s="58">
        <v>93.174110502686005</v>
      </c>
      <c r="D16" s="59">
        <v>91.391724841910417</v>
      </c>
      <c r="E16" s="59">
        <v>89.591539142495463</v>
      </c>
      <c r="F16" s="59">
        <v>84.690597092823751</v>
      </c>
      <c r="G16" s="59">
        <v>76.401347185817656</v>
      </c>
      <c r="H16" s="59">
        <v>59.963667505774268</v>
      </c>
      <c r="I16" s="60">
        <v>47.725577210875521</v>
      </c>
      <c r="J16" s="18" cm="1">
        <f t="array" ref="J16">-SUMPRODUCT((D1:H1-C1:G1)*(C16:G16+D16:H16)/2)</f>
        <v>77.994698988168864</v>
      </c>
      <c r="K16" s="18" cm="1">
        <f t="array" ref="K16">-SUMPRODUCT((D1:I1-C1:H1)*(C16:H16+D16:I16)/2)</f>
        <v>80.686930106085114</v>
      </c>
      <c r="L16" s="72" t="str">
        <f>"    "&amp;_xlfn.TEXTJOIN(", ",TRUE,C16:I16)&amp;","</f>
        <v xml:space="preserve">    93.174110502686, 91.3917248419104, 89.5915391424955, 84.6905970928238, 76.4013471858177, 59.9636675057743, 47.7255772108755,</v>
      </c>
      <c r="M16" s="77" t="s">
        <v>19</v>
      </c>
      <c r="N16" s="79"/>
      <c r="O16" s="58">
        <v>3.8766021792735019</v>
      </c>
      <c r="P16" s="59">
        <v>4.8126411406228078</v>
      </c>
      <c r="Q16" s="59">
        <v>4.6512210016047986</v>
      </c>
      <c r="R16" s="59">
        <v>5.2416066355763284</v>
      </c>
      <c r="S16" s="59">
        <v>8.0769588602235256</v>
      </c>
      <c r="T16" s="59">
        <v>10.657363307561541</v>
      </c>
      <c r="U16" s="60">
        <v>9.200486032966916</v>
      </c>
      <c r="V16" s="72" t="str">
        <f t="shared" si="2"/>
        <v xml:space="preserve">    3.8766021792735, 4.81264114062281, 4.6512210016048, 5.24160663557633, 8.07695886022353, 10.6573633075615, 9.20048603296692,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83" t="s">
        <v>20</v>
      </c>
      <c r="B19" s="84"/>
      <c r="C19" s="84"/>
      <c r="D19" s="84"/>
      <c r="E19" s="84"/>
      <c r="F19" s="84"/>
      <c r="G19" s="84"/>
      <c r="H19" s="84"/>
      <c r="I19" s="85"/>
      <c r="J19" s="14"/>
      <c r="K19" s="14"/>
      <c r="L19" s="74"/>
      <c r="M19" s="83" t="s">
        <v>20</v>
      </c>
      <c r="N19" s="84"/>
      <c r="O19" s="84"/>
      <c r="P19" s="84"/>
      <c r="Q19" s="84"/>
      <c r="R19" s="84"/>
      <c r="S19" s="84"/>
      <c r="T19" s="84"/>
      <c r="U19" s="85"/>
      <c r="V19" s="74"/>
    </row>
    <row r="20" spans="1:22" ht="15.75" thickBot="1" x14ac:dyDescent="0.25">
      <c r="A20" s="83" t="s">
        <v>6</v>
      </c>
      <c r="B20" s="85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83" t="s">
        <v>2</v>
      </c>
      <c r="N20" s="85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83" t="s">
        <v>7</v>
      </c>
      <c r="B21" s="85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83" t="s">
        <v>7</v>
      </c>
      <c r="N21" s="85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33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83" t="s">
        <v>12</v>
      </c>
      <c r="B22" s="85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83" t="s">
        <v>12</v>
      </c>
      <c r="N22" s="85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83" t="s">
        <v>21</v>
      </c>
      <c r="B23" s="84"/>
      <c r="C23" s="84"/>
      <c r="D23" s="84"/>
      <c r="E23" s="84"/>
      <c r="F23" s="84"/>
      <c r="G23" s="84"/>
      <c r="H23" s="84"/>
      <c r="I23" s="85"/>
      <c r="J23" s="24"/>
      <c r="K23" s="24"/>
      <c r="L23" s="74"/>
      <c r="M23" s="83" t="s">
        <v>21</v>
      </c>
      <c r="N23" s="84"/>
      <c r="O23" s="84"/>
      <c r="P23" s="84"/>
      <c r="Q23" s="84"/>
      <c r="R23" s="84"/>
      <c r="S23" s="84"/>
      <c r="T23" s="84"/>
      <c r="U23" s="85"/>
      <c r="V23" s="74"/>
    </row>
    <row r="24" spans="1:22" ht="15.75" thickBot="1" x14ac:dyDescent="0.25">
      <c r="A24" s="28" t="s">
        <v>13</v>
      </c>
      <c r="B24" s="20" t="s">
        <v>8</v>
      </c>
      <c r="C24" s="43">
        <v>89.514481634775166</v>
      </c>
      <c r="D24" s="44">
        <v>89.35226628038626</v>
      </c>
      <c r="E24" s="44">
        <v>89.889882113348023</v>
      </c>
      <c r="F24" s="44">
        <v>89.693959341680312</v>
      </c>
      <c r="G24" s="44">
        <v>89.3083680428701</v>
      </c>
      <c r="H24" s="44">
        <v>78.109634135440473</v>
      </c>
      <c r="I24" s="45">
        <v>52.908047219273321</v>
      </c>
      <c r="J24" s="24"/>
      <c r="K24" s="24"/>
      <c r="L24" s="74" t="str">
        <f t="shared" si="4"/>
        <v xml:space="preserve">    89.5144816347752, 89.3522662803863, 89.889882113348, 89.6939593416803, 89.3083680428701, 78.1096341354405, 52.9080472192733,</v>
      </c>
      <c r="M24" s="28" t="s">
        <v>13</v>
      </c>
      <c r="N24" s="20" t="s">
        <v>8</v>
      </c>
      <c r="O24" s="43">
        <v>2.2815120002105602</v>
      </c>
      <c r="P24" s="44">
        <v>2.7596621761372591</v>
      </c>
      <c r="Q24" s="44">
        <v>2.631245263659221</v>
      </c>
      <c r="R24" s="44">
        <v>2.142598961257046</v>
      </c>
      <c r="S24" s="44">
        <v>2.2739377639559981</v>
      </c>
      <c r="T24" s="44">
        <v>3.6605618273690772</v>
      </c>
      <c r="U24" s="45">
        <v>6.4776453889356134</v>
      </c>
      <c r="V24" s="74" t="str">
        <f t="shared" si="3"/>
        <v xml:space="preserve">    2.28151200021056, 2.75966217613726, 2.63124526365922, 2.14259896125705, 2.273937763956, 3.66056182736908, 6.47764538893561,</v>
      </c>
    </row>
    <row r="25" spans="1:22" ht="15.75" thickBot="1" x14ac:dyDescent="0.25">
      <c r="A25" s="28" t="s">
        <v>14</v>
      </c>
      <c r="B25" s="20" t="s">
        <v>8</v>
      </c>
      <c r="C25" s="46">
        <v>89.722194144414999</v>
      </c>
      <c r="D25" s="71">
        <v>89.876063293112125</v>
      </c>
      <c r="E25" s="71">
        <v>90.143690728825661</v>
      </c>
      <c r="F25" s="71">
        <v>90.237336220632514</v>
      </c>
      <c r="G25" s="71">
        <v>89.505201006889621</v>
      </c>
      <c r="H25" s="71">
        <v>79.720632885053732</v>
      </c>
      <c r="I25" s="47">
        <v>51.356759287161701</v>
      </c>
      <c r="J25" s="24"/>
      <c r="K25" s="24"/>
      <c r="L25" s="74" t="str">
        <f t="shared" si="4"/>
        <v xml:space="preserve">    89.722194144415, 89.8760632931121, 90.1436907288257, 90.2373362206325, 89.5052010068896, 79.7206328850537, 51.3567592871617,</v>
      </c>
      <c r="M25" s="28" t="s">
        <v>14</v>
      </c>
      <c r="N25" s="20" t="s">
        <v>8</v>
      </c>
      <c r="O25" s="46">
        <v>2.78689485223369</v>
      </c>
      <c r="P25" s="71">
        <v>2.7334151104512281</v>
      </c>
      <c r="Q25" s="71">
        <v>2.4326087940349241</v>
      </c>
      <c r="R25" s="71">
        <v>2.5520176157742678</v>
      </c>
      <c r="S25" s="71">
        <v>2.0754688322976449</v>
      </c>
      <c r="T25" s="71">
        <v>3.4776026331680172</v>
      </c>
      <c r="U25" s="47">
        <v>6.3395093346148803</v>
      </c>
      <c r="V25" s="74" t="str">
        <f t="shared" si="3"/>
        <v xml:space="preserve">    2.78689485223369, 2.73341511045123, 2.43260879403492, 2.55201761577427, 2.07546883229764, 3.47760263316802, 6.33950933461488,</v>
      </c>
    </row>
    <row r="26" spans="1:22" ht="15.75" thickBot="1" x14ac:dyDescent="0.25">
      <c r="A26" s="28" t="s">
        <v>15</v>
      </c>
      <c r="B26" s="20" t="s">
        <v>8</v>
      </c>
      <c r="C26" s="46">
        <v>89.683025366528668</v>
      </c>
      <c r="D26" s="71">
        <v>90.042266533255614</v>
      </c>
      <c r="E26" s="71">
        <v>90.195583741217689</v>
      </c>
      <c r="F26" s="71">
        <v>90.225931061916043</v>
      </c>
      <c r="G26" s="71">
        <v>89.29075279420411</v>
      </c>
      <c r="H26" s="71">
        <v>80.060631972944549</v>
      </c>
      <c r="I26" s="47">
        <v>53.344968408285787</v>
      </c>
      <c r="J26" s="24"/>
      <c r="K26" s="24"/>
      <c r="L26" s="74" t="str">
        <f t="shared" si="4"/>
        <v xml:space="preserve">    89.6830253665287, 90.0422665332556, 90.1955837412177, 90.225931061916, 89.2907527942041, 80.0606319729445, 53.3449684082858,</v>
      </c>
      <c r="M26" s="28" t="s">
        <v>15</v>
      </c>
      <c r="N26" s="20" t="s">
        <v>8</v>
      </c>
      <c r="O26" s="46">
        <v>2.7295518142785422</v>
      </c>
      <c r="P26" s="71">
        <v>2.5204108003615828</v>
      </c>
      <c r="Q26" s="71">
        <v>2.4562640537318989</v>
      </c>
      <c r="R26" s="71">
        <v>2.5043715102198392</v>
      </c>
      <c r="S26" s="71">
        <v>2.5482683480909909</v>
      </c>
      <c r="T26" s="71">
        <v>3.8859412701338449</v>
      </c>
      <c r="U26" s="47">
        <v>7.3155991450310127</v>
      </c>
      <c r="V26" s="74" t="str">
        <f t="shared" si="3"/>
        <v xml:space="preserve">    2.72955181427854, 2.52041080036158, 2.4562640537319, 2.50437151021984, 2.54826834809099, 3.88594127013384, 7.31559914503101,</v>
      </c>
    </row>
    <row r="27" spans="1:22" ht="15.75" thickBot="1" x14ac:dyDescent="0.25">
      <c r="A27" s="28" t="s">
        <v>16</v>
      </c>
      <c r="B27" s="20" t="s">
        <v>8</v>
      </c>
      <c r="C27" s="46">
        <v>89.762518297717378</v>
      </c>
      <c r="D27" s="71">
        <v>89.745163012478045</v>
      </c>
      <c r="E27" s="71">
        <v>90.262076629074585</v>
      </c>
      <c r="F27" s="71">
        <v>90.133497412355894</v>
      </c>
      <c r="G27" s="71">
        <v>89.311142523030313</v>
      </c>
      <c r="H27" s="71">
        <v>80.499534319047356</v>
      </c>
      <c r="I27" s="47">
        <v>53.152491090717241</v>
      </c>
      <c r="J27" s="24"/>
      <c r="K27" s="24"/>
      <c r="L27" s="74" t="str">
        <f t="shared" si="4"/>
        <v xml:space="preserve">    89.7625182977174, 89.745163012478, 90.2620766290746, 90.1334974123559, 89.3111425230303, 80.4995343190474, 53.1524910907172,</v>
      </c>
      <c r="M27" s="28" t="s">
        <v>16</v>
      </c>
      <c r="N27" s="20" t="s">
        <v>8</v>
      </c>
      <c r="O27" s="46">
        <v>2.721031761498975</v>
      </c>
      <c r="P27" s="71">
        <v>2.715299564487561</v>
      </c>
      <c r="Q27" s="71">
        <v>2.6314997170658869</v>
      </c>
      <c r="R27" s="71">
        <v>2.6925214353650291</v>
      </c>
      <c r="S27" s="71">
        <v>2.429839167634178</v>
      </c>
      <c r="T27" s="71">
        <v>3.0297405504591151</v>
      </c>
      <c r="U27" s="47">
        <v>5.9339951791463079</v>
      </c>
      <c r="V27" s="74" t="str">
        <f t="shared" si="3"/>
        <v xml:space="preserve">    2.72103176149897, 2.71529956448756, 2.63149971706589, 2.69252143536503, 2.42983916763418, 3.02974055045912, 5.93399517914631,</v>
      </c>
    </row>
    <row r="28" spans="1:22" ht="15.75" thickBot="1" x14ac:dyDescent="0.25">
      <c r="A28" s="29" t="s">
        <v>17</v>
      </c>
      <c r="B28" s="20" t="s">
        <v>8</v>
      </c>
      <c r="C28" s="48">
        <v>89.74449346032101</v>
      </c>
      <c r="D28" s="49">
        <v>89.961854893326574</v>
      </c>
      <c r="E28" s="49">
        <v>90.011537582574022</v>
      </c>
      <c r="F28" s="49">
        <v>90.064770133428496</v>
      </c>
      <c r="G28" s="49">
        <v>88.967446677518851</v>
      </c>
      <c r="H28" s="49">
        <v>80.083589667611676</v>
      </c>
      <c r="I28" s="50">
        <v>52.982008110476087</v>
      </c>
      <c r="J28" s="24"/>
      <c r="K28" s="24"/>
      <c r="L28" s="74" t="str">
        <f t="shared" si="4"/>
        <v xml:space="preserve">    89.744493460321, 89.9618548933266, 90.011537582574, 90.0647701334285, 88.9674466775189, 80.0835896676117, 52.9820081104761,</v>
      </c>
      <c r="M28" s="29" t="s">
        <v>17</v>
      </c>
      <c r="N28" s="20" t="s">
        <v>8</v>
      </c>
      <c r="O28" s="48">
        <v>2.9793986812049931</v>
      </c>
      <c r="P28" s="49">
        <v>2.5386471681353431</v>
      </c>
      <c r="Q28" s="49">
        <v>2.4449126963196481</v>
      </c>
      <c r="R28" s="49">
        <v>2.6222789037595908</v>
      </c>
      <c r="S28" s="49">
        <v>2.7817641077346069</v>
      </c>
      <c r="T28" s="49">
        <v>4.0935792052005926</v>
      </c>
      <c r="U28" s="50">
        <v>6.5884863469929558</v>
      </c>
      <c r="V28" s="74" t="str">
        <f t="shared" si="3"/>
        <v xml:space="preserve">    2.97939868120499, 2.53864716813534, 2.44491269631965, 2.62227890375959, 2.78176410773461, 4.09357920520059, 6.58848634699296,</v>
      </c>
    </row>
    <row r="29" spans="1:22" ht="15.75" thickBot="1" x14ac:dyDescent="0.25">
      <c r="A29" s="83" t="s">
        <v>22</v>
      </c>
      <c r="B29" s="84"/>
      <c r="C29" s="86"/>
      <c r="D29" s="86"/>
      <c r="E29" s="86"/>
      <c r="F29" s="86"/>
      <c r="G29" s="86"/>
      <c r="H29" s="86"/>
      <c r="I29" s="87"/>
      <c r="J29" s="24"/>
      <c r="K29" s="24"/>
      <c r="L29" s="74"/>
      <c r="M29" s="83" t="s">
        <v>22</v>
      </c>
      <c r="N29" s="84"/>
      <c r="O29" s="86"/>
      <c r="P29" s="86"/>
      <c r="Q29" s="86"/>
      <c r="R29" s="86"/>
      <c r="S29" s="86"/>
      <c r="T29" s="86"/>
      <c r="U29" s="87"/>
      <c r="V29" s="74"/>
    </row>
    <row r="30" spans="1:22" ht="14.25" customHeight="1" thickBot="1" x14ac:dyDescent="0.25">
      <c r="A30" s="83" t="s">
        <v>9</v>
      </c>
      <c r="B30" s="85"/>
      <c r="C30" s="61">
        <v>92.603769819293618</v>
      </c>
      <c r="D30" s="62">
        <v>91.431947068352812</v>
      </c>
      <c r="E30" s="62">
        <v>90.390795042999585</v>
      </c>
      <c r="F30" s="62">
        <v>86.789562828222273</v>
      </c>
      <c r="G30" s="62">
        <v>80.615554033052248</v>
      </c>
      <c r="H30" s="62">
        <v>56.609578553133908</v>
      </c>
      <c r="I30" s="63">
        <v>41.27928062292434</v>
      </c>
      <c r="J30" s="24"/>
      <c r="K30" s="24"/>
      <c r="L30" s="74" t="str">
        <f t="shared" ref="L30:L33" si="5">"    "&amp;_xlfn.TEXTJOIN(", ",TRUE,C30:I30)&amp;","</f>
        <v xml:space="preserve">    92.6037698192936, 91.4319470683528, 90.3907950429996, 86.7895628282223, 80.6155540330522, 56.6095785531339, 41.2792806229243,</v>
      </c>
      <c r="M30" s="83" t="s">
        <v>9</v>
      </c>
      <c r="N30" s="85"/>
      <c r="O30" s="61">
        <v>3.708759274801273</v>
      </c>
      <c r="P30" s="62">
        <v>3.9640390541215931</v>
      </c>
      <c r="Q30" s="62">
        <v>3.7067998106756881</v>
      </c>
      <c r="R30" s="62">
        <v>3.667452632531309</v>
      </c>
      <c r="S30" s="62">
        <v>5.7548227051500218</v>
      </c>
      <c r="T30" s="62">
        <v>8.5366536877555248</v>
      </c>
      <c r="U30" s="63">
        <v>6.3187793027043018</v>
      </c>
      <c r="V30" s="74" t="str">
        <f t="shared" si="3"/>
        <v xml:space="preserve">    3.70875927480127, 3.96403905412159, 3.70679981067569, 3.66745263253131, 5.75482270515002, 8.53665368775552, 6.3187793027043,</v>
      </c>
    </row>
    <row r="31" spans="1:22" ht="15.75" thickBot="1" x14ac:dyDescent="0.25">
      <c r="A31" s="88" t="s">
        <v>10</v>
      </c>
      <c r="B31" s="87"/>
      <c r="C31" s="64">
        <v>91.377634404932721</v>
      </c>
      <c r="D31" s="65">
        <v>90.405373333245066</v>
      </c>
      <c r="E31" s="65">
        <v>89.371480308332721</v>
      </c>
      <c r="F31" s="65">
        <v>87.60989862639515</v>
      </c>
      <c r="G31" s="65">
        <v>85.537230701510694</v>
      </c>
      <c r="H31" s="65">
        <v>70.930708745421484</v>
      </c>
      <c r="I31" s="66">
        <v>44.097326232806537</v>
      </c>
      <c r="J31" s="24"/>
      <c r="K31" s="24"/>
      <c r="L31" s="74" t="str">
        <f t="shared" si="5"/>
        <v xml:space="preserve">    91.3776344049327, 90.4053733332451, 89.3714803083327, 87.6098986263952, 85.5372307015107, 70.9307087454215, 44.0973262328065,</v>
      </c>
      <c r="M31" s="83" t="s">
        <v>10</v>
      </c>
      <c r="N31" s="85"/>
      <c r="O31" s="64">
        <v>3.5684194304484111</v>
      </c>
      <c r="P31" s="65">
        <v>3.0347581440341318</v>
      </c>
      <c r="Q31" s="65">
        <v>2.754130276526872</v>
      </c>
      <c r="R31" s="65">
        <v>2.7768782002466339</v>
      </c>
      <c r="S31" s="65">
        <v>3.3184641894178428</v>
      </c>
      <c r="T31" s="65">
        <v>4.9795199020249923</v>
      </c>
      <c r="U31" s="66">
        <v>2.9223071611371929</v>
      </c>
      <c r="V31" s="74" t="str">
        <f t="shared" si="3"/>
        <v xml:space="preserve">    3.56841943044841, 3.03475814403413, 2.75413027652687, 2.77687820024663, 3.31846418941784, 4.97951990202499, 2.92230716113719,</v>
      </c>
    </row>
    <row r="32" spans="1:22" ht="14.25" customHeight="1" thickBot="1" x14ac:dyDescent="0.25">
      <c r="A32" s="83" t="s">
        <v>18</v>
      </c>
      <c r="B32" s="85"/>
      <c r="C32" s="64">
        <v>92.603715202692385</v>
      </c>
      <c r="D32" s="65">
        <v>91.484997502720319</v>
      </c>
      <c r="E32" s="65">
        <v>90.630171299324857</v>
      </c>
      <c r="F32" s="65">
        <v>85.342034697064548</v>
      </c>
      <c r="G32" s="65">
        <v>78.208607944308184</v>
      </c>
      <c r="H32" s="65">
        <v>58.188767254712552</v>
      </c>
      <c r="I32" s="66">
        <v>45.468919562576168</v>
      </c>
      <c r="J32" s="24"/>
      <c r="K32" s="24"/>
      <c r="L32" s="74" t="str">
        <f t="shared" si="5"/>
        <v xml:space="preserve">    92.6037152026924, 91.4849975027203, 90.6301712993249, 85.3420346970645, 78.2086079443082, 58.1887672547126, 45.4689195625762,</v>
      </c>
      <c r="M32" s="83" t="s">
        <v>18</v>
      </c>
      <c r="N32" s="85"/>
      <c r="O32" s="64">
        <v>4.0727132923350373</v>
      </c>
      <c r="P32" s="65">
        <v>4.4231285957629458</v>
      </c>
      <c r="Q32" s="65">
        <v>4.3011534303531356</v>
      </c>
      <c r="R32" s="65">
        <v>4.8453894583465429</v>
      </c>
      <c r="S32" s="65">
        <v>7.5589700135942426</v>
      </c>
      <c r="T32" s="65">
        <v>10.3740336621021</v>
      </c>
      <c r="U32" s="66">
        <v>10.707618741543239</v>
      </c>
      <c r="V32" s="74" t="str">
        <f t="shared" si="3"/>
        <v xml:space="preserve">    4.07271329233504, 4.42312859576295, 4.30115343035314, 4.84538945834654, 7.55897001359424, 10.3740336621021, 10.7076187415432,</v>
      </c>
    </row>
    <row r="33" spans="1:22" ht="15.75" thickBot="1" x14ac:dyDescent="0.25">
      <c r="A33" s="83" t="s">
        <v>19</v>
      </c>
      <c r="B33" s="85"/>
      <c r="C33" s="67">
        <v>92.692685851985146</v>
      </c>
      <c r="D33" s="68">
        <v>91.028008929063319</v>
      </c>
      <c r="E33" s="68">
        <v>89.101176850288709</v>
      </c>
      <c r="F33" s="68">
        <v>84.121695311135312</v>
      </c>
      <c r="G33" s="68">
        <v>75.514536359946376</v>
      </c>
      <c r="H33" s="68">
        <v>58.551851548300363</v>
      </c>
      <c r="I33" s="69">
        <v>43.528644478603361</v>
      </c>
      <c r="J33" s="24"/>
      <c r="K33" s="24"/>
      <c r="L33" s="74" t="str">
        <f t="shared" si="5"/>
        <v xml:space="preserve">    92.6926858519851, 91.0280089290633, 89.1011768502887, 84.1216953111353, 75.5145363599464, 58.5518515483004, 43.5286444786034,</v>
      </c>
      <c r="M33" s="83" t="s">
        <v>19</v>
      </c>
      <c r="N33" s="85"/>
      <c r="O33" s="67">
        <v>4.3508377678439567</v>
      </c>
      <c r="P33" s="68">
        <v>5.1455197984597092</v>
      </c>
      <c r="Q33" s="68">
        <v>5.0319449257944937</v>
      </c>
      <c r="R33" s="68">
        <v>5.4881092234662896</v>
      </c>
      <c r="S33" s="68">
        <v>8.3963724907401343</v>
      </c>
      <c r="T33" s="68">
        <v>11.26477476806841</v>
      </c>
      <c r="U33" s="69">
        <v>10.478269846537319</v>
      </c>
      <c r="V33" s="74" t="str">
        <f t="shared" si="3"/>
        <v xml:space="preserve">    4.35083776784396, 5.14551979845971, 5.03194492579449, 5.48810922346629, 8.39637249074013, 11.2647747680684, 10.4782698465373,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33:B33"/>
    <mergeCell ref="M33:N33"/>
    <mergeCell ref="A29:I29"/>
    <mergeCell ref="M29:U29"/>
    <mergeCell ref="A30:B30"/>
    <mergeCell ref="M30:N30"/>
    <mergeCell ref="A31:B31"/>
    <mergeCell ref="M31:N31"/>
    <mergeCell ref="A22:B22"/>
    <mergeCell ref="M22:N22"/>
    <mergeCell ref="A23:I23"/>
    <mergeCell ref="M23:U23"/>
    <mergeCell ref="A32:B32"/>
    <mergeCell ref="M32:N32"/>
    <mergeCell ref="A19:I19"/>
    <mergeCell ref="M19:U19"/>
    <mergeCell ref="A20:B20"/>
    <mergeCell ref="M20:N20"/>
    <mergeCell ref="A21:B21"/>
    <mergeCell ref="M21:N21"/>
    <mergeCell ref="A14:B14"/>
    <mergeCell ref="M14:N14"/>
    <mergeCell ref="A15:B15"/>
    <mergeCell ref="M15:N15"/>
    <mergeCell ref="A16:B16"/>
    <mergeCell ref="M16:N16"/>
    <mergeCell ref="A6:I6"/>
    <mergeCell ref="M6:U6"/>
    <mergeCell ref="A12:I12"/>
    <mergeCell ref="M12:U12"/>
    <mergeCell ref="A13:B13"/>
    <mergeCell ref="M13:N13"/>
    <mergeCell ref="A2:I2"/>
    <mergeCell ref="M2:U2"/>
    <mergeCell ref="A3:B3"/>
    <mergeCell ref="M3:N3"/>
    <mergeCell ref="A5:B5"/>
    <mergeCell ref="M5:N5"/>
    <mergeCell ref="A4:B4"/>
    <mergeCell ref="M4:N4"/>
  </mergeCells>
  <phoneticPr fontId="1" type="noConversion"/>
  <conditionalFormatting sqref="C3:I3 C7:I11 C13:I16 C5:I5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5:I5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6 J3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6"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16 C3:K3 C5:K5">
    <cfRule type="colorScale" priority="2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6 K3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6"/>
    <col min="13" max="14" width="15" style="1" customWidth="1"/>
    <col min="15" max="21" width="9" style="1"/>
    <col min="22" max="22" width="9" style="76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72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72"/>
    </row>
    <row r="2" spans="1:22" ht="15.75" thickBot="1" x14ac:dyDescent="0.25">
      <c r="A2" s="77" t="s">
        <v>20</v>
      </c>
      <c r="B2" s="78"/>
      <c r="C2" s="78"/>
      <c r="D2" s="78"/>
      <c r="E2" s="78"/>
      <c r="F2" s="78"/>
      <c r="G2" s="78"/>
      <c r="H2" s="78"/>
      <c r="I2" s="79"/>
      <c r="J2" s="13"/>
      <c r="K2" s="13"/>
      <c r="L2" s="72"/>
      <c r="M2" s="77" t="s">
        <v>20</v>
      </c>
      <c r="N2" s="78"/>
      <c r="O2" s="78"/>
      <c r="P2" s="78"/>
      <c r="Q2" s="78"/>
      <c r="R2" s="78"/>
      <c r="S2" s="78"/>
      <c r="T2" s="78"/>
      <c r="U2" s="79"/>
      <c r="V2" s="72"/>
    </row>
    <row r="3" spans="1:22" ht="15.75" thickBot="1" x14ac:dyDescent="0.25">
      <c r="A3" s="77" t="s">
        <v>6</v>
      </c>
      <c r="B3" s="79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72" t="str">
        <f>"    "&amp;_xlfn.TEXTJOIN(", ",TRUE,C3:I3)&amp;","</f>
        <v xml:space="preserve">    93.1013647753585, 91.3266637254648, 89.7225610371485, 83.857204647099, 76.2429490451186, 60.4027774173364, 47.7409002961387,</v>
      </c>
      <c r="M3" s="77" t="s">
        <v>6</v>
      </c>
      <c r="N3" s="79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72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7" t="s">
        <v>7</v>
      </c>
      <c r="B4" s="79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72" t="str">
        <f>"    "&amp;_xlfn.TEXTJOIN(", ",TRUE,C4:I4)&amp;","</f>
        <v xml:space="preserve">    93.2733587660793, 91.6155877934354, 90.6205330495939, 86.5975138193237, 78.2243502683126, 60.8549929786013, 48.7439337710534,</v>
      </c>
      <c r="M4" s="77" t="s">
        <v>7</v>
      </c>
      <c r="N4" s="79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72" t="str">
        <f t="shared" ref="V4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7" t="s">
        <v>12</v>
      </c>
      <c r="B5" s="79"/>
      <c r="C5" s="22">
        <v>87.593900000000005</v>
      </c>
      <c r="D5" s="33">
        <v>87.663716814159287</v>
      </c>
      <c r="E5" s="33">
        <v>88.112094395280209</v>
      </c>
      <c r="F5" s="33">
        <v>87.970025692263789</v>
      </c>
      <c r="G5" s="33">
        <v>87.461708146264243</v>
      </c>
      <c r="H5" s="33">
        <v>75.251363189416281</v>
      </c>
      <c r="I5" s="34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72" t="str">
        <f>"    "&amp;_xlfn.TEXTJOIN(", ",TRUE,C5:I5)&amp;","</f>
        <v xml:space="preserve">    87.5939, 87.6637168141593, 88.1120943952802, 87.9700256922638, 87.4617081462642, 75.2513631894163, 47.7206838582802,</v>
      </c>
      <c r="M5" s="77" t="s">
        <v>12</v>
      </c>
      <c r="N5" s="79"/>
      <c r="O5" s="51">
        <v>2.4529187882918819</v>
      </c>
      <c r="P5" s="33">
        <v>2.16276566139488</v>
      </c>
      <c r="Q5" s="33">
        <v>2.2973398804747198</v>
      </c>
      <c r="R5" s="33">
        <v>2.134165319654592</v>
      </c>
      <c r="S5" s="33">
        <v>2.3834878752826651</v>
      </c>
      <c r="T5" s="33">
        <v>3.787986046410059</v>
      </c>
      <c r="U5" s="34">
        <v>3.7419646549723868</v>
      </c>
      <c r="V5" s="72" t="str">
        <f t="shared" ref="V5:V11" si="1">"    "&amp;_xlfn.TEXTJOIN(", ",TRUE,O5:U5)&amp;","</f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7" t="s">
        <v>21</v>
      </c>
      <c r="B6" s="78"/>
      <c r="C6" s="78"/>
      <c r="D6" s="78"/>
      <c r="E6" s="78"/>
      <c r="F6" s="78"/>
      <c r="G6" s="78"/>
      <c r="H6" s="78"/>
      <c r="I6" s="79"/>
      <c r="J6" s="18"/>
      <c r="K6" s="18"/>
      <c r="L6" s="72"/>
      <c r="M6" s="77" t="s">
        <v>21</v>
      </c>
      <c r="N6" s="78"/>
      <c r="O6" s="78"/>
      <c r="P6" s="78"/>
      <c r="Q6" s="78"/>
      <c r="R6" s="78"/>
      <c r="S6" s="78"/>
      <c r="T6" s="78"/>
      <c r="U6" s="79"/>
      <c r="V6" s="72"/>
    </row>
    <row r="7" spans="1:22" ht="15.75" customHeight="1" thickBot="1" x14ac:dyDescent="0.25">
      <c r="A7" s="21" t="s">
        <v>13</v>
      </c>
      <c r="B7" s="19" t="s">
        <v>8</v>
      </c>
      <c r="C7" s="35"/>
      <c r="D7" s="36"/>
      <c r="E7" s="36"/>
      <c r="F7" s="36"/>
      <c r="G7" s="36"/>
      <c r="H7" s="36"/>
      <c r="I7" s="37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72" t="str">
        <f>"    "&amp;_xlfn.TEXTJOIN(", ",TRUE,C7:I7)&amp;","</f>
        <v xml:space="preserve">    ,</v>
      </c>
      <c r="M7" s="21" t="s">
        <v>13</v>
      </c>
      <c r="N7" s="19" t="s">
        <v>8</v>
      </c>
      <c r="O7" s="35"/>
      <c r="P7" s="36"/>
      <c r="Q7" s="36"/>
      <c r="R7" s="36"/>
      <c r="S7" s="36"/>
      <c r="T7" s="36"/>
      <c r="U7" s="37"/>
      <c r="V7" s="72" t="str">
        <f t="shared" si="1"/>
        <v xml:space="preserve">    ,</v>
      </c>
    </row>
    <row r="8" spans="1:22" ht="15.75" customHeight="1" thickBot="1" x14ac:dyDescent="0.25">
      <c r="A8" s="21" t="s">
        <v>14</v>
      </c>
      <c r="B8" s="19" t="s">
        <v>8</v>
      </c>
      <c r="C8" s="38"/>
      <c r="D8" s="70"/>
      <c r="E8" s="70"/>
      <c r="F8" s="70"/>
      <c r="G8" s="70"/>
      <c r="H8" s="70"/>
      <c r="I8" s="39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72" t="str">
        <f>"    "&amp;_xlfn.TEXTJOIN(", ",TRUE,C8:I8)&amp;","</f>
        <v xml:space="preserve">    ,</v>
      </c>
      <c r="M8" s="21" t="s">
        <v>14</v>
      </c>
      <c r="N8" s="19" t="s">
        <v>8</v>
      </c>
      <c r="O8" s="38"/>
      <c r="P8" s="70"/>
      <c r="Q8" s="70"/>
      <c r="R8" s="70"/>
      <c r="S8" s="70"/>
      <c r="T8" s="70"/>
      <c r="U8" s="39"/>
      <c r="V8" s="72" t="str">
        <f t="shared" si="1"/>
        <v xml:space="preserve">    ,</v>
      </c>
    </row>
    <row r="9" spans="1:22" ht="15.75" customHeight="1" thickBot="1" x14ac:dyDescent="0.25">
      <c r="A9" s="21" t="s">
        <v>15</v>
      </c>
      <c r="B9" s="19" t="s">
        <v>8</v>
      </c>
      <c r="C9" s="38"/>
      <c r="D9" s="70"/>
      <c r="E9" s="70"/>
      <c r="F9" s="70"/>
      <c r="G9" s="70"/>
      <c r="H9" s="70"/>
      <c r="I9" s="39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72" t="str">
        <f>"    "&amp;_xlfn.TEXTJOIN(", ",TRUE,C9:I9)&amp;","</f>
        <v xml:space="preserve">    ,</v>
      </c>
      <c r="M9" s="21" t="s">
        <v>15</v>
      </c>
      <c r="N9" s="19" t="s">
        <v>8</v>
      </c>
      <c r="O9" s="38"/>
      <c r="P9" s="70"/>
      <c r="Q9" s="70"/>
      <c r="R9" s="70"/>
      <c r="S9" s="70"/>
      <c r="T9" s="70"/>
      <c r="U9" s="39"/>
      <c r="V9" s="72" t="str">
        <f t="shared" si="1"/>
        <v xml:space="preserve">    ,</v>
      </c>
    </row>
    <row r="10" spans="1:22" ht="15.75" customHeight="1" thickBot="1" x14ac:dyDescent="0.25">
      <c r="A10" s="21" t="s">
        <v>16</v>
      </c>
      <c r="B10" s="19" t="s">
        <v>8</v>
      </c>
      <c r="C10" s="38"/>
      <c r="D10" s="70"/>
      <c r="E10" s="70"/>
      <c r="F10" s="70"/>
      <c r="G10" s="70"/>
      <c r="H10" s="70"/>
      <c r="I10" s="39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72" t="str">
        <f>"    "&amp;_xlfn.TEXTJOIN(", ",TRUE,C10:I10)&amp;","</f>
        <v xml:space="preserve">    ,</v>
      </c>
      <c r="M10" s="21" t="s">
        <v>16</v>
      </c>
      <c r="N10" s="19" t="s">
        <v>8</v>
      </c>
      <c r="O10" s="38"/>
      <c r="P10" s="70"/>
      <c r="Q10" s="70"/>
      <c r="R10" s="70"/>
      <c r="S10" s="70"/>
      <c r="T10" s="70"/>
      <c r="U10" s="39"/>
      <c r="V10" s="72" t="str">
        <f t="shared" si="1"/>
        <v xml:space="preserve">    ,</v>
      </c>
    </row>
    <row r="11" spans="1:22" ht="15.75" customHeight="1" thickBot="1" x14ac:dyDescent="0.25">
      <c r="A11" s="4" t="s">
        <v>17</v>
      </c>
      <c r="B11" s="19" t="s">
        <v>8</v>
      </c>
      <c r="C11" s="40"/>
      <c r="D11" s="41"/>
      <c r="E11" s="41"/>
      <c r="F11" s="41"/>
      <c r="G11" s="41"/>
      <c r="H11" s="41"/>
      <c r="I11" s="42"/>
      <c r="J11" s="18" cm="1">
        <f t="array" ref="J11">-SUMPRODUCT((D1:H1-C1:G1)*(C11:G11+D11:H11)/2)</f>
        <v>0</v>
      </c>
      <c r="K11" s="18" cm="1">
        <f t="array" ref="K11">-SUMPRODUCT((D1:I1-C1:H1)*(C11:H11+D11:I11)/2)</f>
        <v>0</v>
      </c>
      <c r="L11" s="72" t="str">
        <f>"    "&amp;_xlfn.TEXTJOIN(", ",TRUE,C11:I11)&amp;","</f>
        <v xml:space="preserve">    ,</v>
      </c>
      <c r="M11" s="4" t="s">
        <v>17</v>
      </c>
      <c r="N11" s="19" t="s">
        <v>8</v>
      </c>
      <c r="O11" s="40"/>
      <c r="P11" s="41"/>
      <c r="Q11" s="41"/>
      <c r="R11" s="41"/>
      <c r="S11" s="41"/>
      <c r="T11" s="41"/>
      <c r="U11" s="42"/>
      <c r="V11" s="72" t="str">
        <f t="shared" si="1"/>
        <v xml:space="preserve">    ,</v>
      </c>
    </row>
    <row r="12" spans="1:22" ht="15.75" customHeight="1" thickBot="1" x14ac:dyDescent="0.25">
      <c r="A12" s="77" t="s">
        <v>22</v>
      </c>
      <c r="B12" s="78"/>
      <c r="C12" s="80"/>
      <c r="D12" s="80"/>
      <c r="E12" s="80"/>
      <c r="F12" s="80"/>
      <c r="G12" s="80"/>
      <c r="H12" s="80"/>
      <c r="I12" s="81"/>
      <c r="J12" s="18"/>
      <c r="K12" s="18"/>
      <c r="L12" s="72"/>
      <c r="M12" s="77" t="s">
        <v>22</v>
      </c>
      <c r="N12" s="78"/>
      <c r="O12" s="80"/>
      <c r="P12" s="80"/>
      <c r="Q12" s="80"/>
      <c r="R12" s="80"/>
      <c r="S12" s="80"/>
      <c r="T12" s="80"/>
      <c r="U12" s="81"/>
      <c r="V12" s="72"/>
    </row>
    <row r="13" spans="1:22" ht="15.75" customHeight="1" thickBot="1" x14ac:dyDescent="0.25">
      <c r="A13" s="77" t="s">
        <v>9</v>
      </c>
      <c r="B13" s="79"/>
      <c r="C13" s="52">
        <v>92.969518190757128</v>
      </c>
      <c r="D13" s="53">
        <v>91.851524090462149</v>
      </c>
      <c r="E13" s="53">
        <v>90.756145526057011</v>
      </c>
      <c r="F13" s="53">
        <v>87.253136561158271</v>
      </c>
      <c r="G13" s="53">
        <v>81.178972136437139</v>
      </c>
      <c r="H13" s="53">
        <v>57.386929529378847</v>
      </c>
      <c r="I13" s="54">
        <v>44.855442809482213</v>
      </c>
      <c r="J13" s="18" cm="1">
        <f t="array" ref="J13">-SUMPRODUCT((D1:H1-C1:G1)*(C13:G13+D13:H13)/2)</f>
        <v>79.079417714109411</v>
      </c>
      <c r="K13" s="18" cm="1">
        <f t="array" ref="K13">-SUMPRODUCT((D1:I1-C1:H1)*(C13:H13+D13:I13)/2)</f>
        <v>81.635477022580943</v>
      </c>
      <c r="L13" s="72" t="str">
        <f>"    "&amp;_xlfn.TEXTJOIN(", ",TRUE,C13:I13)&amp;","</f>
        <v xml:space="preserve">    92.9695181907571, 91.8515240904621, 90.756145526057, 87.2531365611583, 81.1789721364371, 57.3869295293788, 44.8554428094822,</v>
      </c>
      <c r="M13" s="77" t="s">
        <v>9</v>
      </c>
      <c r="N13" s="79"/>
      <c r="O13" s="52">
        <v>3.3991921823554931</v>
      </c>
      <c r="P13" s="53">
        <v>3.6561489783789969</v>
      </c>
      <c r="Q13" s="53">
        <v>3.4316179388806831</v>
      </c>
      <c r="R13" s="53">
        <v>3.3610781227617821</v>
      </c>
      <c r="S13" s="53">
        <v>5.2773835873092807</v>
      </c>
      <c r="T13" s="53">
        <v>8.2027130196510409</v>
      </c>
      <c r="U13" s="54">
        <v>5.203571843512913</v>
      </c>
      <c r="V13" s="72" t="str">
        <f t="shared" ref="V13:V16" si="2">"    "&amp;_xlfn.TEXTJOIN(", ",TRUE,O13:U13)&amp;","</f>
        <v xml:space="preserve">    3.39919218235549, 3.656148978379, 3.43161793888068, 3.36107812276178, 5.27738358730928, 8.20271301965104, 5.20357184351291,</v>
      </c>
    </row>
    <row r="14" spans="1:22" ht="15.75" customHeight="1" thickBot="1" x14ac:dyDescent="0.25">
      <c r="A14" s="82" t="s">
        <v>10</v>
      </c>
      <c r="B14" s="81"/>
      <c r="C14" s="55">
        <v>91.898721730580135</v>
      </c>
      <c r="D14" s="56">
        <v>90.765995668936</v>
      </c>
      <c r="E14" s="56">
        <v>89.705268500015848</v>
      </c>
      <c r="F14" s="56">
        <v>87.959685349065893</v>
      </c>
      <c r="G14" s="56">
        <v>85.750000720882824</v>
      </c>
      <c r="H14" s="56">
        <v>71.387388010853613</v>
      </c>
      <c r="I14" s="57">
        <v>45.596343105620853</v>
      </c>
      <c r="J14" s="18" cm="1">
        <f t="array" ref="J14">-SUMPRODUCT((D1:H1-C1:G1)*(C14:G14+D14:H14)/2)</f>
        <v>79.700846821050931</v>
      </c>
      <c r="K14" s="18" cm="1">
        <f t="array" ref="K14">-SUMPRODUCT((D1:I1-C1:H1)*(C14:H14+D14:I14)/2)</f>
        <v>82.625440098962798</v>
      </c>
      <c r="L14" s="72" t="str">
        <f>"    "&amp;_xlfn.TEXTJOIN(", ",TRUE,C14:I14)&amp;","</f>
        <v xml:space="preserve">    91.8987217305801, 90.765995668936, 89.7052685000158, 87.9596853490659, 85.7500007208828, 71.3873880108536, 45.5963431056209,</v>
      </c>
      <c r="M14" s="77" t="s">
        <v>10</v>
      </c>
      <c r="N14" s="79"/>
      <c r="O14" s="55">
        <v>3.190312271555559</v>
      </c>
      <c r="P14" s="56">
        <v>2.8828036064622768</v>
      </c>
      <c r="Q14" s="56">
        <v>2.5884740771146331</v>
      </c>
      <c r="R14" s="56">
        <v>2.6213450470877251</v>
      </c>
      <c r="S14" s="56">
        <v>3.203569989687661</v>
      </c>
      <c r="T14" s="56">
        <v>4.756712112750666</v>
      </c>
      <c r="U14" s="57">
        <v>2.488810891584841</v>
      </c>
      <c r="V14" s="72" t="str">
        <f t="shared" si="2"/>
        <v xml:space="preserve">    3.19031227155556, 2.88280360646228, 2.58847407711463, 2.62134504708773, 3.20356998968766, 4.75671211275067, 2.48881089158484,</v>
      </c>
    </row>
    <row r="15" spans="1:22" ht="15.75" customHeight="1" thickBot="1" x14ac:dyDescent="0.25">
      <c r="A15" s="77" t="s">
        <v>18</v>
      </c>
      <c r="B15" s="79"/>
      <c r="C15" s="55">
        <v>93.044276622923505</v>
      </c>
      <c r="D15" s="56">
        <v>91.935155148400938</v>
      </c>
      <c r="E15" s="56">
        <v>90.94889229145582</v>
      </c>
      <c r="F15" s="56">
        <v>85.952505356159378</v>
      </c>
      <c r="G15" s="56">
        <v>78.915183810701947</v>
      </c>
      <c r="H15" s="56">
        <v>59.442100133507502</v>
      </c>
      <c r="I15" s="57">
        <v>49.533828147302302</v>
      </c>
      <c r="J15" s="18" cm="1">
        <f t="array" ref="J15">-SUMPRODUCT((D1:H1-C1:G1)*(C15:G15+D15:H15)/2)</f>
        <v>78.834323321712716</v>
      </c>
      <c r="K15" s="18" cm="1">
        <f t="array" ref="K15">-SUMPRODUCT((D1:I1-C1:H1)*(C15:H15+D15:I15)/2)</f>
        <v>81.55872152873296</v>
      </c>
      <c r="L15" s="72" t="str">
        <f>"    "&amp;_xlfn.TEXTJOIN(", ",TRUE,C15:I15)&amp;","</f>
        <v xml:space="preserve">    93.0442766229235, 91.9351551484009, 90.9488922914558, 85.9525053561594, 78.9151838107019, 59.4421001335075, 49.5338281473023,</v>
      </c>
      <c r="M15" s="77" t="s">
        <v>18</v>
      </c>
      <c r="N15" s="79"/>
      <c r="O15" s="55">
        <v>3.72078192123604</v>
      </c>
      <c r="P15" s="56">
        <v>4.0467152776216686</v>
      </c>
      <c r="Q15" s="56">
        <v>4.0235763627769954</v>
      </c>
      <c r="R15" s="56">
        <v>4.4767633212331157</v>
      </c>
      <c r="S15" s="56">
        <v>7.2019016527503927</v>
      </c>
      <c r="T15" s="56">
        <v>10.04668436860082</v>
      </c>
      <c r="U15" s="57">
        <v>9.2355901481835172</v>
      </c>
      <c r="V15" s="72" t="str">
        <f t="shared" si="2"/>
        <v xml:space="preserve">    3.72078192123604, 4.04671527762167, 4.023576362777, 4.47676332123312, 7.20190165275039, 10.0466843686008, 9.23559014818352,</v>
      </c>
    </row>
    <row r="16" spans="1:22" ht="15.75" customHeight="1" thickBot="1" x14ac:dyDescent="0.25">
      <c r="A16" s="77" t="s">
        <v>19</v>
      </c>
      <c r="B16" s="79"/>
      <c r="C16" s="58">
        <v>93.174110502686005</v>
      </c>
      <c r="D16" s="59">
        <v>91.391724841910417</v>
      </c>
      <c r="E16" s="59">
        <v>89.591539142495463</v>
      </c>
      <c r="F16" s="59">
        <v>84.690597092823751</v>
      </c>
      <c r="G16" s="59">
        <v>76.401347185817656</v>
      </c>
      <c r="H16" s="59">
        <v>59.963667505774268</v>
      </c>
      <c r="I16" s="60">
        <v>47.725577210875521</v>
      </c>
      <c r="J16" s="18" cm="1">
        <f t="array" ref="J16">-SUMPRODUCT((D1:H1-C1:G1)*(C16:G16+D16:H16)/2)</f>
        <v>77.994698988168864</v>
      </c>
      <c r="K16" s="18" cm="1">
        <f t="array" ref="K16">-SUMPRODUCT((D1:I1-C1:H1)*(C16:H16+D16:I16)/2)</f>
        <v>80.686930106085114</v>
      </c>
      <c r="L16" s="72" t="str">
        <f>"    "&amp;_xlfn.TEXTJOIN(", ",TRUE,C16:I16)&amp;","</f>
        <v xml:space="preserve">    93.174110502686, 91.3917248419104, 89.5915391424955, 84.6905970928238, 76.4013471858177, 59.9636675057743, 47.7255772108755,</v>
      </c>
      <c r="M16" s="77" t="s">
        <v>19</v>
      </c>
      <c r="N16" s="79"/>
      <c r="O16" s="58">
        <v>3.8766021792735019</v>
      </c>
      <c r="P16" s="59">
        <v>4.8126411406228078</v>
      </c>
      <c r="Q16" s="59">
        <v>4.6512210016047986</v>
      </c>
      <c r="R16" s="59">
        <v>5.2416066355763284</v>
      </c>
      <c r="S16" s="59">
        <v>8.0769588602235256</v>
      </c>
      <c r="T16" s="59">
        <v>10.657363307561541</v>
      </c>
      <c r="U16" s="60">
        <v>9.200486032966916</v>
      </c>
      <c r="V16" s="72" t="str">
        <f t="shared" si="2"/>
        <v xml:space="preserve">    3.8766021792735, 4.81264114062281, 4.6512210016048, 5.24160663557633, 8.07695886022353, 10.6573633075615, 9.20048603296692,</v>
      </c>
    </row>
    <row r="17" spans="1:22" ht="15" thickBo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73"/>
      <c r="M17" s="23"/>
      <c r="N17" s="23"/>
      <c r="O17" s="23"/>
      <c r="P17" s="23"/>
      <c r="Q17" s="23"/>
      <c r="R17" s="23"/>
      <c r="S17" s="23"/>
      <c r="T17" s="23"/>
      <c r="U17" s="23"/>
      <c r="V17" s="73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4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4"/>
    </row>
    <row r="19" spans="1:22" ht="15.75" thickBot="1" x14ac:dyDescent="0.25">
      <c r="A19" s="83" t="s">
        <v>20</v>
      </c>
      <c r="B19" s="84"/>
      <c r="C19" s="84"/>
      <c r="D19" s="84"/>
      <c r="E19" s="84"/>
      <c r="F19" s="84"/>
      <c r="G19" s="84"/>
      <c r="H19" s="84"/>
      <c r="I19" s="85"/>
      <c r="J19" s="14"/>
      <c r="K19" s="14"/>
      <c r="L19" s="74"/>
      <c r="M19" s="83" t="s">
        <v>20</v>
      </c>
      <c r="N19" s="84"/>
      <c r="O19" s="84"/>
      <c r="P19" s="84"/>
      <c r="Q19" s="84"/>
      <c r="R19" s="84"/>
      <c r="S19" s="84"/>
      <c r="T19" s="84"/>
      <c r="U19" s="85"/>
      <c r="V19" s="74"/>
    </row>
    <row r="20" spans="1:22" ht="15.75" thickBot="1" x14ac:dyDescent="0.25">
      <c r="A20" s="83" t="s">
        <v>6</v>
      </c>
      <c r="B20" s="85"/>
      <c r="C20" s="25">
        <v>92.567111769713335</v>
      </c>
      <c r="D20" s="25">
        <v>90.835858608343599</v>
      </c>
      <c r="E20" s="25">
        <v>89.217505339533233</v>
      </c>
      <c r="F20" s="25">
        <v>83.237245964288078</v>
      </c>
      <c r="G20" s="25">
        <v>75.380430844191011</v>
      </c>
      <c r="H20" s="25">
        <v>58.994367187597383</v>
      </c>
      <c r="I20" s="26">
        <v>43.622535641382179</v>
      </c>
      <c r="J20" s="24"/>
      <c r="K20" s="24"/>
      <c r="L20" s="74" t="str">
        <f>"    "&amp;_xlfn.TEXTJOIN(", ",TRUE,C20:I20)&amp;","</f>
        <v xml:space="preserve">    92.5671117697133, 90.8358586083436, 89.2175053395332, 83.2372459642881, 75.380430844191, 58.9943671875974, 43.6225356413822,</v>
      </c>
      <c r="M20" s="83" t="s">
        <v>2</v>
      </c>
      <c r="N20" s="85"/>
      <c r="O20" s="27">
        <v>3.88093621561358</v>
      </c>
      <c r="P20" s="25">
        <v>4.8164746829677396</v>
      </c>
      <c r="Q20" s="25">
        <v>5.2250608386616522</v>
      </c>
      <c r="R20" s="25">
        <v>5.6675721086724113</v>
      </c>
      <c r="S20" s="25">
        <v>8.3263283482936075</v>
      </c>
      <c r="T20" s="25">
        <v>10.49020927094638</v>
      </c>
      <c r="U20" s="26">
        <v>11.060437347759546</v>
      </c>
      <c r="V20" s="74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83" t="s">
        <v>7</v>
      </c>
      <c r="B21" s="85"/>
      <c r="C21" s="25">
        <v>92.866950218042462</v>
      </c>
      <c r="D21" s="25">
        <v>91.242690764745561</v>
      </c>
      <c r="E21" s="25">
        <v>90.137053227698445</v>
      </c>
      <c r="F21" s="25">
        <v>86.080152926613408</v>
      </c>
      <c r="G21" s="25">
        <v>77.410217255196784</v>
      </c>
      <c r="H21" s="25">
        <v>59.676194764980139</v>
      </c>
      <c r="I21" s="26">
        <v>46.395490419404197</v>
      </c>
      <c r="J21" s="24"/>
      <c r="K21" s="24"/>
      <c r="L21" s="74" t="str">
        <f>"    "&amp;_xlfn.TEXTJOIN(", ",TRUE,C21:I21)&amp;","</f>
        <v xml:space="preserve">    92.8669502180425, 91.2426907647456, 90.1370532276984, 86.0801529266134, 77.4102172551968, 59.6761947649801, 46.3954904194042,</v>
      </c>
      <c r="M21" s="83" t="s">
        <v>7</v>
      </c>
      <c r="N21" s="85"/>
      <c r="O21" s="25">
        <v>3.8319643020864191</v>
      </c>
      <c r="P21" s="25">
        <v>4.3603246705255447</v>
      </c>
      <c r="Q21" s="25">
        <v>4.7987735191879262</v>
      </c>
      <c r="R21" s="25">
        <v>5.1262965367330251</v>
      </c>
      <c r="S21" s="25">
        <v>7.087258799823358</v>
      </c>
      <c r="T21" s="25">
        <v>9.7457736576346736</v>
      </c>
      <c r="U21" s="26">
        <v>10.021578856839133</v>
      </c>
      <c r="V21" s="74" t="str">
        <f t="shared" ref="V21:V33" si="3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83" t="s">
        <v>12</v>
      </c>
      <c r="B22" s="85"/>
      <c r="C22" s="30">
        <v>87.268396410214976</v>
      </c>
      <c r="D22" s="31">
        <v>87.256428398686779</v>
      </c>
      <c r="E22" s="31">
        <v>87.822106304170404</v>
      </c>
      <c r="F22" s="31">
        <v>87.68072644235157</v>
      </c>
      <c r="G22" s="31">
        <v>87.144879367185226</v>
      </c>
      <c r="H22" s="31">
        <v>74.976567886515753</v>
      </c>
      <c r="I22" s="32">
        <v>46.41754739488244</v>
      </c>
      <c r="J22" s="24"/>
      <c r="K22" s="24"/>
      <c r="L22" s="74" t="str">
        <f t="shared" ref="L22:L28" si="4">"    "&amp;_xlfn.TEXTJOIN(", ",TRUE,C22:I22)&amp;","</f>
        <v xml:space="preserve">    87.268396410215, 87.2564283986868, 87.8221063041704, 87.6807264423516, 87.1448793671852, 74.9765678865158, 46.4175473948824,</v>
      </c>
      <c r="M22" s="83" t="s">
        <v>12</v>
      </c>
      <c r="N22" s="85"/>
      <c r="O22" s="30">
        <v>2.610595868561878</v>
      </c>
      <c r="P22" s="31">
        <v>2.3209805270224559</v>
      </c>
      <c r="Q22" s="31">
        <v>2.4426244152699921</v>
      </c>
      <c r="R22" s="31">
        <v>2.2821255442986761</v>
      </c>
      <c r="S22" s="31">
        <v>2.523131741400912</v>
      </c>
      <c r="T22" s="31">
        <v>3.7626100419371111</v>
      </c>
      <c r="U22" s="32">
        <v>4.1161081119796732</v>
      </c>
      <c r="V22" s="74" t="str">
        <f t="shared" si="3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83" t="s">
        <v>21</v>
      </c>
      <c r="B23" s="84"/>
      <c r="C23" s="84"/>
      <c r="D23" s="84"/>
      <c r="E23" s="84"/>
      <c r="F23" s="84"/>
      <c r="G23" s="84"/>
      <c r="H23" s="84"/>
      <c r="I23" s="85"/>
      <c r="J23" s="24"/>
      <c r="K23" s="24"/>
      <c r="L23" s="74"/>
      <c r="M23" s="83" t="s">
        <v>21</v>
      </c>
      <c r="N23" s="84"/>
      <c r="O23" s="84"/>
      <c r="P23" s="84"/>
      <c r="Q23" s="84"/>
      <c r="R23" s="84"/>
      <c r="S23" s="84"/>
      <c r="T23" s="84"/>
      <c r="U23" s="85"/>
      <c r="V23" s="74"/>
    </row>
    <row r="24" spans="1:22" ht="15.75" thickBot="1" x14ac:dyDescent="0.25">
      <c r="A24" s="28" t="s">
        <v>13</v>
      </c>
      <c r="B24" s="20" t="s">
        <v>8</v>
      </c>
      <c r="C24" s="43"/>
      <c r="D24" s="44"/>
      <c r="E24" s="44"/>
      <c r="F24" s="44"/>
      <c r="G24" s="44"/>
      <c r="H24" s="44"/>
      <c r="I24" s="45"/>
      <c r="J24" s="24"/>
      <c r="K24" s="24"/>
      <c r="L24" s="74" t="str">
        <f t="shared" si="4"/>
        <v xml:space="preserve">    ,</v>
      </c>
      <c r="M24" s="28" t="s">
        <v>13</v>
      </c>
      <c r="N24" s="20" t="s">
        <v>8</v>
      </c>
      <c r="O24" s="43"/>
      <c r="P24" s="44"/>
      <c r="Q24" s="44"/>
      <c r="R24" s="44"/>
      <c r="S24" s="44"/>
      <c r="T24" s="44"/>
      <c r="U24" s="45"/>
      <c r="V24" s="74" t="str">
        <f t="shared" si="3"/>
        <v xml:space="preserve">    ,</v>
      </c>
    </row>
    <row r="25" spans="1:22" ht="15.75" thickBot="1" x14ac:dyDescent="0.25">
      <c r="A25" s="28" t="s">
        <v>14</v>
      </c>
      <c r="B25" s="20" t="s">
        <v>8</v>
      </c>
      <c r="C25" s="46"/>
      <c r="D25" s="71"/>
      <c r="E25" s="71"/>
      <c r="F25" s="71"/>
      <c r="G25" s="71"/>
      <c r="H25" s="71"/>
      <c r="I25" s="47"/>
      <c r="J25" s="24"/>
      <c r="K25" s="24"/>
      <c r="L25" s="74" t="str">
        <f t="shared" si="4"/>
        <v xml:space="preserve">    ,</v>
      </c>
      <c r="M25" s="28" t="s">
        <v>14</v>
      </c>
      <c r="N25" s="20" t="s">
        <v>8</v>
      </c>
      <c r="O25" s="46"/>
      <c r="P25" s="71"/>
      <c r="Q25" s="71"/>
      <c r="R25" s="71"/>
      <c r="S25" s="71"/>
      <c r="T25" s="71"/>
      <c r="U25" s="47"/>
      <c r="V25" s="74" t="str">
        <f t="shared" si="3"/>
        <v xml:space="preserve">    ,</v>
      </c>
    </row>
    <row r="26" spans="1:22" ht="15.75" thickBot="1" x14ac:dyDescent="0.25">
      <c r="A26" s="28" t="s">
        <v>15</v>
      </c>
      <c r="B26" s="20" t="s">
        <v>8</v>
      </c>
      <c r="C26" s="46"/>
      <c r="D26" s="71"/>
      <c r="E26" s="71"/>
      <c r="F26" s="71"/>
      <c r="G26" s="71"/>
      <c r="H26" s="71"/>
      <c r="I26" s="47"/>
      <c r="J26" s="24"/>
      <c r="K26" s="24"/>
      <c r="L26" s="74" t="str">
        <f t="shared" si="4"/>
        <v xml:space="preserve">    ,</v>
      </c>
      <c r="M26" s="28" t="s">
        <v>15</v>
      </c>
      <c r="N26" s="20" t="s">
        <v>8</v>
      </c>
      <c r="O26" s="46"/>
      <c r="P26" s="71"/>
      <c r="Q26" s="71"/>
      <c r="R26" s="71"/>
      <c r="S26" s="71"/>
      <c r="T26" s="71"/>
      <c r="U26" s="47"/>
      <c r="V26" s="74" t="str">
        <f t="shared" si="3"/>
        <v xml:space="preserve">    ,</v>
      </c>
    </row>
    <row r="27" spans="1:22" ht="15.75" thickBot="1" x14ac:dyDescent="0.25">
      <c r="A27" s="28" t="s">
        <v>16</v>
      </c>
      <c r="B27" s="20" t="s">
        <v>8</v>
      </c>
      <c r="C27" s="46"/>
      <c r="D27" s="71"/>
      <c r="E27" s="71"/>
      <c r="F27" s="71"/>
      <c r="G27" s="71"/>
      <c r="H27" s="71"/>
      <c r="I27" s="47"/>
      <c r="J27" s="24"/>
      <c r="K27" s="24"/>
      <c r="L27" s="74" t="str">
        <f t="shared" si="4"/>
        <v xml:space="preserve">    ,</v>
      </c>
      <c r="M27" s="28" t="s">
        <v>16</v>
      </c>
      <c r="N27" s="20" t="s">
        <v>8</v>
      </c>
      <c r="O27" s="46"/>
      <c r="P27" s="71"/>
      <c r="Q27" s="71"/>
      <c r="R27" s="71"/>
      <c r="S27" s="71"/>
      <c r="T27" s="71"/>
      <c r="U27" s="47"/>
      <c r="V27" s="74" t="str">
        <f t="shared" si="3"/>
        <v xml:space="preserve">    ,</v>
      </c>
    </row>
    <row r="28" spans="1:22" ht="15.75" thickBot="1" x14ac:dyDescent="0.25">
      <c r="A28" s="29" t="s">
        <v>17</v>
      </c>
      <c r="B28" s="20" t="s">
        <v>8</v>
      </c>
      <c r="C28" s="48"/>
      <c r="D28" s="49"/>
      <c r="E28" s="49"/>
      <c r="F28" s="49"/>
      <c r="G28" s="49"/>
      <c r="H28" s="49"/>
      <c r="I28" s="50"/>
      <c r="J28" s="24"/>
      <c r="K28" s="24"/>
      <c r="L28" s="74" t="str">
        <f t="shared" si="4"/>
        <v xml:space="preserve">    ,</v>
      </c>
      <c r="M28" s="29" t="s">
        <v>17</v>
      </c>
      <c r="N28" s="20" t="s">
        <v>8</v>
      </c>
      <c r="O28" s="48"/>
      <c r="P28" s="49"/>
      <c r="Q28" s="49"/>
      <c r="R28" s="49"/>
      <c r="S28" s="49"/>
      <c r="T28" s="49"/>
      <c r="U28" s="50"/>
      <c r="V28" s="74" t="str">
        <f t="shared" si="3"/>
        <v xml:space="preserve">    ,</v>
      </c>
    </row>
    <row r="29" spans="1:22" ht="15.75" thickBot="1" x14ac:dyDescent="0.25">
      <c r="A29" s="83" t="s">
        <v>22</v>
      </c>
      <c r="B29" s="84"/>
      <c r="C29" s="86"/>
      <c r="D29" s="86"/>
      <c r="E29" s="86"/>
      <c r="F29" s="86"/>
      <c r="G29" s="86"/>
      <c r="H29" s="86"/>
      <c r="I29" s="87"/>
      <c r="J29" s="24"/>
      <c r="K29" s="24"/>
      <c r="L29" s="74"/>
      <c r="M29" s="83" t="s">
        <v>22</v>
      </c>
      <c r="N29" s="84"/>
      <c r="O29" s="86"/>
      <c r="P29" s="86"/>
      <c r="Q29" s="86"/>
      <c r="R29" s="86"/>
      <c r="S29" s="86"/>
      <c r="T29" s="86"/>
      <c r="U29" s="87"/>
      <c r="V29" s="74"/>
    </row>
    <row r="30" spans="1:22" ht="14.25" customHeight="1" thickBot="1" x14ac:dyDescent="0.25">
      <c r="A30" s="83" t="s">
        <v>9</v>
      </c>
      <c r="B30" s="85"/>
      <c r="C30" s="61">
        <v>92.603769819293618</v>
      </c>
      <c r="D30" s="62">
        <v>91.431947068352812</v>
      </c>
      <c r="E30" s="62">
        <v>90.390795042999585</v>
      </c>
      <c r="F30" s="62">
        <v>86.789562828222273</v>
      </c>
      <c r="G30" s="62">
        <v>80.615554033052248</v>
      </c>
      <c r="H30" s="62">
        <v>56.609578553133908</v>
      </c>
      <c r="I30" s="63">
        <v>41.27928062292434</v>
      </c>
      <c r="J30" s="24"/>
      <c r="K30" s="24"/>
      <c r="L30" s="74" t="str">
        <f t="shared" ref="L30:L33" si="5">"    "&amp;_xlfn.TEXTJOIN(", ",TRUE,C30:I30)&amp;","</f>
        <v xml:space="preserve">    92.6037698192936, 91.4319470683528, 90.3907950429996, 86.7895628282223, 80.6155540330522, 56.6095785531339, 41.2792806229243,</v>
      </c>
      <c r="M30" s="83" t="s">
        <v>9</v>
      </c>
      <c r="N30" s="85"/>
      <c r="O30" s="61">
        <v>3.708759274801273</v>
      </c>
      <c r="P30" s="62">
        <v>3.9640390541215931</v>
      </c>
      <c r="Q30" s="62">
        <v>3.7067998106756881</v>
      </c>
      <c r="R30" s="62">
        <v>3.667452632531309</v>
      </c>
      <c r="S30" s="62">
        <v>5.7548227051500218</v>
      </c>
      <c r="T30" s="62">
        <v>8.5366536877555248</v>
      </c>
      <c r="U30" s="63">
        <v>6.3187793027043018</v>
      </c>
      <c r="V30" s="74" t="str">
        <f t="shared" si="3"/>
        <v xml:space="preserve">    3.70875927480127, 3.96403905412159, 3.70679981067569, 3.66745263253131, 5.75482270515002, 8.53665368775552, 6.3187793027043,</v>
      </c>
    </row>
    <row r="31" spans="1:22" ht="15.75" thickBot="1" x14ac:dyDescent="0.25">
      <c r="A31" s="88" t="s">
        <v>10</v>
      </c>
      <c r="B31" s="87"/>
      <c r="C31" s="64">
        <v>91.377634404932721</v>
      </c>
      <c r="D31" s="65">
        <v>90.405373333245066</v>
      </c>
      <c r="E31" s="65">
        <v>89.371480308332721</v>
      </c>
      <c r="F31" s="65">
        <v>87.60989862639515</v>
      </c>
      <c r="G31" s="65">
        <v>85.537230701510694</v>
      </c>
      <c r="H31" s="65">
        <v>70.930708745421484</v>
      </c>
      <c r="I31" s="66">
        <v>44.097326232806537</v>
      </c>
      <c r="J31" s="24"/>
      <c r="K31" s="24"/>
      <c r="L31" s="74" t="str">
        <f t="shared" si="5"/>
        <v xml:space="preserve">    91.3776344049327, 90.4053733332451, 89.3714803083327, 87.6098986263952, 85.5372307015107, 70.9307087454215, 44.0973262328065,</v>
      </c>
      <c r="M31" s="83" t="s">
        <v>10</v>
      </c>
      <c r="N31" s="85"/>
      <c r="O31" s="64">
        <v>3.5684194304484111</v>
      </c>
      <c r="P31" s="65">
        <v>3.0347581440341318</v>
      </c>
      <c r="Q31" s="65">
        <v>2.754130276526872</v>
      </c>
      <c r="R31" s="65">
        <v>2.7768782002466339</v>
      </c>
      <c r="S31" s="65">
        <v>3.3184641894178428</v>
      </c>
      <c r="T31" s="65">
        <v>4.9795199020249923</v>
      </c>
      <c r="U31" s="66">
        <v>2.9223071611371929</v>
      </c>
      <c r="V31" s="74" t="str">
        <f t="shared" si="3"/>
        <v xml:space="preserve">    3.56841943044841, 3.03475814403413, 2.75413027652687, 2.77687820024663, 3.31846418941784, 4.97951990202499, 2.92230716113719,</v>
      </c>
    </row>
    <row r="32" spans="1:22" ht="14.25" customHeight="1" thickBot="1" x14ac:dyDescent="0.25">
      <c r="A32" s="83" t="s">
        <v>18</v>
      </c>
      <c r="B32" s="85"/>
      <c r="C32" s="64">
        <v>92.603715202692385</v>
      </c>
      <c r="D32" s="65">
        <v>91.484997502720319</v>
      </c>
      <c r="E32" s="65">
        <v>90.630171299324857</v>
      </c>
      <c r="F32" s="65">
        <v>85.342034697064548</v>
      </c>
      <c r="G32" s="65">
        <v>78.208607944308184</v>
      </c>
      <c r="H32" s="65">
        <v>58.188767254712552</v>
      </c>
      <c r="I32" s="66">
        <v>45.468919562576168</v>
      </c>
      <c r="J32" s="24"/>
      <c r="K32" s="24"/>
      <c r="L32" s="74" t="str">
        <f t="shared" si="5"/>
        <v xml:space="preserve">    92.6037152026924, 91.4849975027203, 90.6301712993249, 85.3420346970645, 78.2086079443082, 58.1887672547126, 45.4689195625762,</v>
      </c>
      <c r="M32" s="83" t="s">
        <v>18</v>
      </c>
      <c r="N32" s="85"/>
      <c r="O32" s="64">
        <v>4.0727132923350373</v>
      </c>
      <c r="P32" s="65">
        <v>4.4231285957629458</v>
      </c>
      <c r="Q32" s="65">
        <v>4.3011534303531356</v>
      </c>
      <c r="R32" s="65">
        <v>4.8453894583465429</v>
      </c>
      <c r="S32" s="65">
        <v>7.5589700135942426</v>
      </c>
      <c r="T32" s="65">
        <v>10.3740336621021</v>
      </c>
      <c r="U32" s="66">
        <v>10.707618741543239</v>
      </c>
      <c r="V32" s="74" t="str">
        <f t="shared" si="3"/>
        <v xml:space="preserve">    4.07271329233504, 4.42312859576295, 4.30115343035314, 4.84538945834654, 7.55897001359424, 10.3740336621021, 10.7076187415432,</v>
      </c>
    </row>
    <row r="33" spans="1:22" ht="15.75" thickBot="1" x14ac:dyDescent="0.25">
      <c r="A33" s="83" t="s">
        <v>19</v>
      </c>
      <c r="B33" s="85"/>
      <c r="C33" s="67">
        <v>92.692685851985146</v>
      </c>
      <c r="D33" s="68">
        <v>91.028008929063319</v>
      </c>
      <c r="E33" s="68">
        <v>89.101176850288709</v>
      </c>
      <c r="F33" s="68">
        <v>84.121695311135312</v>
      </c>
      <c r="G33" s="68">
        <v>75.514536359946376</v>
      </c>
      <c r="H33" s="68">
        <v>58.551851548300363</v>
      </c>
      <c r="I33" s="69">
        <v>43.528644478603361</v>
      </c>
      <c r="J33" s="24"/>
      <c r="K33" s="24"/>
      <c r="L33" s="74" t="str">
        <f t="shared" si="5"/>
        <v xml:space="preserve">    92.6926858519851, 91.0280089290633, 89.1011768502887, 84.1216953111353, 75.5145363599464, 58.5518515483004, 43.5286444786034,</v>
      </c>
      <c r="M33" s="83" t="s">
        <v>19</v>
      </c>
      <c r="N33" s="85"/>
      <c r="O33" s="67">
        <v>4.3508377678439567</v>
      </c>
      <c r="P33" s="68">
        <v>5.1455197984597092</v>
      </c>
      <c r="Q33" s="68">
        <v>5.0319449257944937</v>
      </c>
      <c r="R33" s="68">
        <v>5.4881092234662896</v>
      </c>
      <c r="S33" s="68">
        <v>8.3963724907401343</v>
      </c>
      <c r="T33" s="68">
        <v>11.26477476806841</v>
      </c>
      <c r="U33" s="69">
        <v>10.478269846537319</v>
      </c>
      <c r="V33" s="74" t="str">
        <f t="shared" si="3"/>
        <v xml:space="preserve">    4.35083776784396, 5.14551979845971, 5.03194492579449, 5.48810922346629, 8.39637249074013, 11.2647747680684, 10.4782698465373,</v>
      </c>
    </row>
    <row r="35" spans="1:22" ht="15" x14ac:dyDescent="0.2">
      <c r="J35" s="2"/>
      <c r="K35" s="2"/>
      <c r="L35" s="75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5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5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5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5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5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5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5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16:N16"/>
    <mergeCell ref="A3:B3"/>
    <mergeCell ref="M3:N3"/>
    <mergeCell ref="A20:B20"/>
    <mergeCell ref="M20:N20"/>
    <mergeCell ref="A13:B13"/>
    <mergeCell ref="A14:B14"/>
    <mergeCell ref="A5:B5"/>
    <mergeCell ref="M5:N5"/>
    <mergeCell ref="A12:I12"/>
    <mergeCell ref="A6:I6"/>
    <mergeCell ref="M12:U12"/>
    <mergeCell ref="A4:B4"/>
    <mergeCell ref="M4:N4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</mergeCells>
  <phoneticPr fontId="1" type="noConversion"/>
  <conditionalFormatting sqref="C3:I3 C7:I11 C13:I16 C5:I5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C5:I5">
    <cfRule type="colorScale" priority="1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3 C5:I5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3 J6:K16 C5:K5">
    <cfRule type="colorScale" priority="2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J16 J3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3 J5:K16">
    <cfRule type="colorScale" priority="2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5:K5"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2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K16 K3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4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:K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K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2026-04-30T07:10:11Z</dcterms:modified>
</cp:coreProperties>
</file>