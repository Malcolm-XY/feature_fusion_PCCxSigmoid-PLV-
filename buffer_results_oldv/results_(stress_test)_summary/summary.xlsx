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summary\"/>
    </mc:Choice>
  </mc:AlternateContent>
  <xr:revisionPtr revIDLastSave="0" documentId="13_ncr:1_{CAAD3D7B-8ED0-45D8-BD1C-3D7869504624}" xr6:coauthVersionLast="47" xr6:coauthVersionMax="47" xr10:uidLastSave="{00000000-0000-0000-0000-000000000000}"/>
  <bookViews>
    <workbookView xWindow="-120" yWindow="-120" windowWidth="29040" windowHeight="15720" tabRatio="639" activeTab="1" xr2:uid="{00000000-000D-0000-FFFF-FFFF00000000}"/>
  </bookViews>
  <sheets>
    <sheet name="partialdata_20260429_spt_idx" sheetId="6" r:id="rId1"/>
    <sheet name="fullldata_20260524_spt_idx" sheetId="5" r:id="rId2"/>
    <sheet name="confusion_mtx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6" l="1" a="1"/>
  <c r="J2" i="6" s="1"/>
  <c r="J3" i="6" a="1"/>
  <c r="J3" i="6" s="1"/>
  <c r="J4" i="6" a="1"/>
  <c r="J4" i="6" s="1"/>
  <c r="J6" i="6" a="1"/>
  <c r="J6" i="6" s="1"/>
  <c r="J7" i="6" a="1"/>
  <c r="J7" i="6" s="1"/>
  <c r="J9" i="6" a="1"/>
  <c r="J9" i="6" s="1"/>
  <c r="J10" i="6" a="1"/>
  <c r="J10" i="6" s="1"/>
  <c r="J11" i="6" a="1"/>
  <c r="J11" i="6" s="1"/>
  <c r="J12" i="6" a="1"/>
  <c r="J12" i="6"/>
  <c r="J14" i="6" a="1"/>
  <c r="J14" i="6" s="1"/>
  <c r="J15" i="6" a="1"/>
  <c r="J15" i="6" s="1"/>
  <c r="J16" i="6" a="1"/>
  <c r="J16" i="6" s="1"/>
  <c r="J17" i="6" a="1"/>
  <c r="J17" i="6" s="1"/>
  <c r="K11" i="5" a="1"/>
  <c r="K11" i="5" s="1"/>
  <c r="J11" i="5" a="1"/>
  <c r="J11" i="5"/>
  <c r="K10" i="5" a="1"/>
  <c r="K10" i="5" s="1"/>
  <c r="J10" i="5" a="1"/>
  <c r="J10" i="5" s="1"/>
  <c r="K29" i="5" a="1"/>
  <c r="K29" i="5" s="1"/>
  <c r="J29" i="5" a="1"/>
  <c r="J29" i="5" s="1"/>
  <c r="K28" i="5" a="1"/>
  <c r="K28" i="5" s="1"/>
  <c r="J28" i="5" a="1"/>
  <c r="J28" i="5" s="1"/>
  <c r="K27" i="5" a="1"/>
  <c r="K27" i="5" s="1"/>
  <c r="J27" i="5" a="1"/>
  <c r="J27" i="5" s="1"/>
  <c r="K26" i="5" a="1"/>
  <c r="K26" i="5" s="1"/>
  <c r="J26" i="5" a="1"/>
  <c r="J26" i="5" s="1"/>
  <c r="K24" i="5" a="1"/>
  <c r="K24" i="5" s="1"/>
  <c r="L8" i="5"/>
  <c r="L9" i="5"/>
  <c r="L11" i="5"/>
  <c r="L12" i="5"/>
  <c r="L14" i="5"/>
  <c r="K14" i="5" a="1"/>
  <c r="K14" i="5" s="1"/>
  <c r="J14" i="5" a="1"/>
  <c r="J14" i="5" s="1"/>
  <c r="K13" i="5" a="1"/>
  <c r="K13" i="5" s="1"/>
  <c r="V58" i="5"/>
  <c r="L58" i="5"/>
  <c r="V57" i="5"/>
  <c r="L57" i="5"/>
  <c r="V56" i="5"/>
  <c r="L56" i="5"/>
  <c r="V28" i="5"/>
  <c r="L28" i="5"/>
  <c r="V27" i="5"/>
  <c r="L27" i="5"/>
  <c r="V26" i="5"/>
  <c r="L26" i="5"/>
  <c r="J13" i="5" a="1"/>
  <c r="J13" i="5" s="1"/>
  <c r="J12" i="5" a="1"/>
  <c r="J12" i="5" s="1"/>
  <c r="K12" i="5" a="1"/>
  <c r="K12" i="5" s="1"/>
  <c r="V35" i="6"/>
  <c r="V30" i="6"/>
  <c r="V12" i="6"/>
  <c r="V17" i="6"/>
  <c r="L12" i="6"/>
  <c r="L30" i="6"/>
  <c r="L35" i="6"/>
  <c r="L17" i="6"/>
  <c r="V34" i="6"/>
  <c r="L34" i="6"/>
  <c r="V33" i="6"/>
  <c r="L33" i="6"/>
  <c r="V32" i="6"/>
  <c r="L32" i="6"/>
  <c r="V29" i="6"/>
  <c r="L29" i="6"/>
  <c r="V28" i="6"/>
  <c r="L28" i="6"/>
  <c r="V27" i="6"/>
  <c r="L27" i="6"/>
  <c r="V25" i="6"/>
  <c r="L25" i="6"/>
  <c r="V24" i="6"/>
  <c r="L24" i="6"/>
  <c r="V22" i="6"/>
  <c r="L22" i="6"/>
  <c r="V21" i="6"/>
  <c r="L21" i="6"/>
  <c r="V20" i="6"/>
  <c r="L20" i="6"/>
  <c r="K17" i="6" a="1"/>
  <c r="K17" i="6" s="1"/>
  <c r="V16" i="6"/>
  <c r="L16" i="6"/>
  <c r="K16" i="6" a="1"/>
  <c r="K16" i="6" s="1"/>
  <c r="V15" i="6"/>
  <c r="L15" i="6"/>
  <c r="K15" i="6" a="1"/>
  <c r="K15" i="6" s="1"/>
  <c r="V14" i="6"/>
  <c r="L14" i="6"/>
  <c r="K14" i="6" a="1"/>
  <c r="K14" i="6" s="1"/>
  <c r="K12" i="6" a="1"/>
  <c r="K12" i="6" s="1"/>
  <c r="V11" i="6"/>
  <c r="L11" i="6"/>
  <c r="K11" i="6" a="1"/>
  <c r="K11" i="6" s="1"/>
  <c r="V10" i="6"/>
  <c r="L10" i="6"/>
  <c r="K10" i="6" a="1"/>
  <c r="K10" i="6" s="1"/>
  <c r="V9" i="6"/>
  <c r="L9" i="6"/>
  <c r="K9" i="6" a="1"/>
  <c r="K9" i="6" s="1"/>
  <c r="V7" i="6"/>
  <c r="L7" i="6"/>
  <c r="K7" i="6" a="1"/>
  <c r="K7" i="6" s="1"/>
  <c r="V6" i="6"/>
  <c r="L6" i="6"/>
  <c r="K6" i="6" a="1"/>
  <c r="K6" i="6" s="1"/>
  <c r="V4" i="6"/>
  <c r="L4" i="6"/>
  <c r="K4" i="6" a="1"/>
  <c r="K4" i="6" s="1"/>
  <c r="V3" i="6"/>
  <c r="L3" i="6"/>
  <c r="K3" i="6" a="1"/>
  <c r="K3" i="6" s="1"/>
  <c r="V2" i="6"/>
  <c r="L2" i="6"/>
  <c r="K2" i="6" a="1"/>
  <c r="K2" i="6" s="1"/>
  <c r="J24" i="5" a="1"/>
  <c r="J24" i="5" s="1"/>
  <c r="K23" i="5" a="1"/>
  <c r="K23" i="5" s="1"/>
  <c r="J23" i="5" a="1"/>
  <c r="J23" i="5" s="1"/>
  <c r="K22" i="5" a="1"/>
  <c r="K22" i="5" s="1"/>
  <c r="K21" i="5" a="1"/>
  <c r="K21" i="5" s="1"/>
  <c r="J22" i="5" a="1"/>
  <c r="J22" i="5" s="1"/>
  <c r="J21" i="5" a="1"/>
  <c r="J21" i="5" s="1"/>
  <c r="L51" i="5"/>
  <c r="L52" i="5"/>
  <c r="L53" i="5"/>
  <c r="V53" i="5"/>
  <c r="V52" i="5"/>
  <c r="V51" i="5"/>
  <c r="V23" i="5"/>
  <c r="L23" i="5"/>
  <c r="V22" i="5"/>
  <c r="L22" i="5"/>
  <c r="V21" i="5"/>
  <c r="L21" i="5"/>
  <c r="K19" i="5" a="1"/>
  <c r="K19" i="5" s="1"/>
  <c r="J19" i="5" a="1"/>
  <c r="J19" i="5" s="1"/>
  <c r="J9" i="5" a="1"/>
  <c r="J9" i="5" s="1"/>
  <c r="K9" i="5" a="1"/>
  <c r="K9" i="5" s="1"/>
  <c r="K8" i="5" a="1"/>
  <c r="K8" i="5" s="1"/>
  <c r="J8" i="5" a="1"/>
  <c r="J8" i="5" s="1"/>
  <c r="L10" i="5"/>
  <c r="L13" i="5"/>
  <c r="L40" i="5"/>
  <c r="L43" i="5"/>
  <c r="V34" i="5"/>
  <c r="V36" i="5"/>
  <c r="V37" i="5"/>
  <c r="V4" i="5"/>
  <c r="V6" i="5"/>
  <c r="V7" i="5"/>
  <c r="L34" i="5"/>
  <c r="L36" i="5"/>
  <c r="L37" i="5"/>
  <c r="L4" i="5"/>
  <c r="L6" i="5"/>
  <c r="L7" i="5"/>
  <c r="K4" i="5" a="1"/>
  <c r="K4" i="5" s="1"/>
  <c r="J4" i="5" a="1"/>
  <c r="J4" i="5" s="1"/>
  <c r="K7" i="5" a="1"/>
  <c r="K7" i="5" s="1"/>
  <c r="K6" i="5" a="1"/>
  <c r="K6" i="5" s="1"/>
  <c r="J16" i="5" a="1"/>
  <c r="J16" i="5" s="1"/>
  <c r="K16" i="5" a="1"/>
  <c r="K16" i="5" s="1"/>
  <c r="J7" i="5" a="1"/>
  <c r="J7" i="5" s="1"/>
  <c r="V48" i="5"/>
  <c r="V47" i="5"/>
  <c r="V46" i="5"/>
  <c r="V33" i="5"/>
  <c r="V32" i="5"/>
  <c r="V18" i="5"/>
  <c r="V17" i="5"/>
  <c r="V16" i="5"/>
  <c r="V3" i="5"/>
  <c r="V2" i="5"/>
  <c r="L3" i="5"/>
  <c r="L16" i="5"/>
  <c r="L17" i="5"/>
  <c r="L18" i="5"/>
  <c r="K17" i="5" a="1"/>
  <c r="K17" i="5" s="1"/>
  <c r="J17" i="5" a="1"/>
  <c r="J17" i="5" s="1"/>
  <c r="L48" i="5"/>
  <c r="L33" i="5"/>
  <c r="J18" i="5" a="1"/>
  <c r="J18" i="5" s="1"/>
  <c r="J6" i="5" a="1"/>
  <c r="J6" i="5" s="1"/>
  <c r="J3" i="5" a="1"/>
  <c r="J3" i="5" s="1"/>
  <c r="J2" i="5" a="1"/>
  <c r="J2" i="5" s="1"/>
  <c r="K18" i="5" a="1"/>
  <c r="K18" i="5" s="1"/>
  <c r="K3" i="5" a="1"/>
  <c r="K3" i="5" s="1"/>
  <c r="K2" i="5" a="1"/>
  <c r="K2" i="5" s="1"/>
  <c r="L47" i="5"/>
  <c r="L46" i="5"/>
  <c r="L3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<sst xmlns="http://schemas.openxmlformats.org/spreadsheetml/2006/main" count="227" uniqueCount="36">
  <si>
    <t>Accuracy</t>
    <phoneticPr fontId="1" type="noConversion"/>
  </si>
  <si>
    <t>NRR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</si>
  <si>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</si>
  <si>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</si>
  <si>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</si>
  <si>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</si>
  <si>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</si>
  <si>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</si>
  <si>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</si>
  <si>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</si>
  <si>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</si>
  <si>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optimal params (heaviside)</t>
    <phoneticPr fontId="1" type="noConversion"/>
  </si>
  <si>
    <t>PC-AEC</t>
    <phoneticPr fontId="1" type="noConversion"/>
  </si>
  <si>
    <t>PCC * σ(PLV)</t>
    <phoneticPr fontId="1" type="noConversion"/>
  </si>
  <si>
    <t>PCC * σ(PLI)</t>
    <phoneticPr fontId="1" type="noConversion"/>
  </si>
  <si>
    <t>PLV * σ(PLV)</t>
    <phoneticPr fontId="1" type="noConversion"/>
  </si>
  <si>
    <t>PLI * σ(PLI)</t>
    <phoneticPr fontId="1" type="noConversion"/>
  </si>
  <si>
    <t>PCC * σ(PCC)</t>
    <phoneticPr fontId="1" type="noConversion"/>
  </si>
  <si>
    <t>PLV * σ(PCC)</t>
    <phoneticPr fontId="1" type="noConversion"/>
  </si>
  <si>
    <t>PLI * σ(PCC)</t>
    <phoneticPr fontId="1" type="noConversion"/>
  </si>
  <si>
    <t>PCC &amp; PLV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</si>
  <si>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</si>
  <si>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</si>
  <si>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PCC &amp; PLI</t>
    <phoneticPr fontId="1" type="noConversion"/>
  </si>
  <si>
    <t>PLV &amp; PLI</t>
    <phoneticPr fontId="1" type="noConversion"/>
  </si>
  <si>
    <t>PLV * σ(PLI)</t>
    <phoneticPr fontId="1" type="noConversion"/>
  </si>
  <si>
    <t>PLI * σ(PLV)</t>
    <phoneticPr fontId="1" type="noConversion"/>
  </si>
  <si>
    <t>PCC</t>
    <phoneticPr fontId="1" type="noConversion"/>
  </si>
  <si>
    <t>PLV</t>
    <phoneticPr fontId="1" type="noConversion"/>
  </si>
  <si>
    <t>PLI</t>
    <phoneticPr fontId="1" type="noConversion"/>
  </si>
  <si>
    <t>Basis</t>
    <phoneticPr fontId="1" type="noConversion"/>
  </si>
  <si>
    <t>Reliability threshold</t>
    <phoneticPr fontId="1" type="noConversion"/>
  </si>
  <si>
    <t>.</t>
    <phoneticPr fontId="1" type="noConversion"/>
  </si>
  <si>
    <t>0 (no threshold)</t>
    <phoneticPr fontId="1" type="noConversion"/>
  </si>
  <si>
    <t>Basis</t>
    <phoneticPr fontId="1" type="noConversion"/>
  </si>
  <si>
    <t>AUC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</si>
</sst>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3" borderId="0" xfId="0" applyFont="1" applyFill="1"/>
    <xf numFmtId="0" fontId="4" fillId="3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0" fontId="4" fillId="2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2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530-62F3-45D6-8CBF-3B0602E24BE5}">
  <dimension ref="A1:V41"/>
  <sheetViews>
    <sheetView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2" width="9" style="10"/>
    <col min="13" max="13" width="25" style="10" customWidth="1"/>
    <col min="14" max="14" width="15" style="10" customWidth="1"/>
    <col min="15" max="16384" width="9" style="10"/>
  </cols>
  <sheetData>
    <row r="1" spans="1:22" ht="15.75" thickBot="1" x14ac:dyDescent="0.25">
      <c r="A1" s="3" t="s">
        <v>0</v>
      </c>
      <c r="B1" s="13" t="s">
        <v>1</v>
      </c>
      <c r="C1" s="17">
        <v>1</v>
      </c>
      <c r="D1" s="17">
        <v>0.75</v>
      </c>
      <c r="E1" s="17">
        <v>0.5</v>
      </c>
      <c r="F1" s="17">
        <v>0.3</v>
      </c>
      <c r="G1" s="17">
        <v>0.2</v>
      </c>
      <c r="H1" s="17">
        <v>0.1</v>
      </c>
      <c r="I1" s="6">
        <v>0.05</v>
      </c>
      <c r="J1" s="18" t="s">
        <v>9</v>
      </c>
      <c r="K1" s="18" t="s">
        <v>9</v>
      </c>
      <c r="L1" s="12"/>
      <c r="M1" s="3" t="s">
        <v>2</v>
      </c>
      <c r="N1" s="13" t="s">
        <v>1</v>
      </c>
      <c r="O1" s="7">
        <v>1</v>
      </c>
      <c r="P1" s="17">
        <v>0.75</v>
      </c>
      <c r="Q1" s="17">
        <v>0.5</v>
      </c>
      <c r="R1" s="17">
        <v>0.3</v>
      </c>
      <c r="S1" s="17">
        <v>0.2</v>
      </c>
      <c r="T1" s="17">
        <v>0.1</v>
      </c>
      <c r="U1" s="6">
        <v>0.05</v>
      </c>
      <c r="V1" s="12"/>
    </row>
    <row r="2" spans="1:22" ht="15.75" thickBot="1" x14ac:dyDescent="0.25">
      <c r="A2" s="111" t="s">
        <v>5</v>
      </c>
      <c r="B2" s="112"/>
      <c r="C2" s="20">
        <v>93.101364775358491</v>
      </c>
      <c r="D2" s="21">
        <v>91.326663725464783</v>
      </c>
      <c r="E2" s="21">
        <v>89.722561037148537</v>
      </c>
      <c r="F2" s="21">
        <v>83.857204647099024</v>
      </c>
      <c r="G2" s="21">
        <v>76.242949045118635</v>
      </c>
      <c r="H2" s="21">
        <v>60.40277741733636</v>
      </c>
      <c r="I2" s="22">
        <v>47.740900296138662</v>
      </c>
      <c r="J2" s="23" cm="1">
        <f t="array" ref="J2">-SUMPRODUCT((D1:H1-C1:G1)*(C2:G2+D2:H2)/2)</f>
        <v>77.879927234087958</v>
      </c>
      <c r="K2" s="23" cm="1">
        <f t="array" ref="K2">-SUMPRODUCT((D1:I1-C1:H1)*(C2:H2+D2:I2)/2)</f>
        <v>80.583519176924838</v>
      </c>
      <c r="L2" s="12" t="str">
        <f>"    "&amp;_xlfn.TEXTJOIN(", ",TRUE,C2:I2)&amp;","</f>
        <v xml:space="preserve">    93.1013647753585, 91.3266637254648, 89.7225610371485, 83.857204647099, 76.2429490451186, 60.4027774173364, 47.7409002961387,</v>
      </c>
      <c r="M2" s="111" t="s">
        <v>5</v>
      </c>
      <c r="N2" s="112"/>
      <c r="O2" s="31">
        <v>3.4649270444699574</v>
      </c>
      <c r="P2" s="32">
        <v>4.4611797621615326</v>
      </c>
      <c r="Q2" s="32">
        <v>4.7712065248821434</v>
      </c>
      <c r="R2" s="32">
        <v>5.3965689103010375</v>
      </c>
      <c r="S2" s="32">
        <v>7.9323757260741923</v>
      </c>
      <c r="T2" s="32">
        <v>9.9900413492801565</v>
      </c>
      <c r="U2" s="33">
        <v>9.7565309936118432</v>
      </c>
      <c r="V2" s="12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111" t="s">
        <v>6</v>
      </c>
      <c r="B3" s="112"/>
      <c r="C3" s="31">
        <v>93.273358766079312</v>
      </c>
      <c r="D3" s="32">
        <v>91.615587793435367</v>
      </c>
      <c r="E3" s="32">
        <v>90.62053304959386</v>
      </c>
      <c r="F3" s="32">
        <v>86.59751381932368</v>
      </c>
      <c r="G3" s="32">
        <v>78.22435026831262</v>
      </c>
      <c r="H3" s="32">
        <v>60.854992978601317</v>
      </c>
      <c r="I3" s="33">
        <v>48.743933771053378</v>
      </c>
      <c r="J3" s="35" cm="1">
        <f t="array" ref="J3">-SUMPRODUCT((D1:H1-C1:G1)*(C3:G3+D3:H3)/2)</f>
        <v>78.807498478937248</v>
      </c>
      <c r="K3" s="35" cm="1">
        <f t="array" ref="K3">-SUMPRODUCT((D1:I1-C1:H1)*(C3:H3+D3:I3)/2)</f>
        <v>81.54747164767862</v>
      </c>
      <c r="L3" s="12" t="str">
        <f>"    "&amp;_xlfn.TEXTJOIN(", ",TRUE,C3:I3)&amp;","</f>
        <v xml:space="preserve">    93.2733587660793, 91.6155877934354, 90.6205330495939, 86.5975138193237, 78.2243502683126, 60.8549929786013, 48.7439337710534,</v>
      </c>
      <c r="M3" s="111" t="s">
        <v>6</v>
      </c>
      <c r="N3" s="112"/>
      <c r="O3" s="31">
        <v>3.4672469457762647</v>
      </c>
      <c r="P3" s="32">
        <v>4.1066373858138912</v>
      </c>
      <c r="Q3" s="32">
        <v>4.4433442831389707</v>
      </c>
      <c r="R3" s="32">
        <v>4.8572661690244194</v>
      </c>
      <c r="S3" s="32">
        <v>6.7334065011993722</v>
      </c>
      <c r="T3" s="32">
        <v>9.3055912140758643</v>
      </c>
      <c r="U3" s="33">
        <v>9.1853207799272329</v>
      </c>
      <c r="V3" s="12" t="str">
        <f t="shared" ref="V3:V4" si="0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111" t="s">
        <v>10</v>
      </c>
      <c r="B4" s="112"/>
      <c r="C4" s="24">
        <v>87.593900000000005</v>
      </c>
      <c r="D4" s="26">
        <v>87.663716814159287</v>
      </c>
      <c r="E4" s="26">
        <v>88.112094395280209</v>
      </c>
      <c r="F4" s="26">
        <v>87.970025692263789</v>
      </c>
      <c r="G4" s="26">
        <v>87.461708146264243</v>
      </c>
      <c r="H4" s="26">
        <v>75.251363189416281</v>
      </c>
      <c r="I4" s="27">
        <v>47.720683858280204</v>
      </c>
      <c r="J4" s="35" cm="1">
        <f t="array" ref="J4">-SUMPRODUCT((D1:H1-C1:G1)*(C4:G4+D4:H4)/2)</f>
        <v>78.394630770414679</v>
      </c>
      <c r="K4" s="35" cm="1">
        <f t="array" ref="K4">-SUMPRODUCT((D1:I1-C1:H1)*(C4:H4+D4:I4)/2)</f>
        <v>81.468931946607086</v>
      </c>
      <c r="L4" s="12" t="str">
        <f>"    "&amp;_xlfn.TEXTJOIN(", ",TRUE,C4:I4)&amp;","</f>
        <v xml:space="preserve">    87.5939, 87.6637168141593, 88.1120943952802, 87.9700256922638, 87.4617081462642, 75.2513631894163, 47.7206838582802,</v>
      </c>
      <c r="M4" s="111" t="s">
        <v>10</v>
      </c>
      <c r="N4" s="112"/>
      <c r="O4" s="49">
        <v>2.4529187882918819</v>
      </c>
      <c r="P4" s="26">
        <v>2.16276566139488</v>
      </c>
      <c r="Q4" s="26">
        <v>2.2973398804747198</v>
      </c>
      <c r="R4" s="26">
        <v>2.134165319654592</v>
      </c>
      <c r="S4" s="26">
        <v>2.3834878752826651</v>
      </c>
      <c r="T4" s="26">
        <v>3.787986046410059</v>
      </c>
      <c r="U4" s="27">
        <v>3.7419646549723868</v>
      </c>
      <c r="V4" s="12" t="str">
        <f t="shared" si="0"/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111" t="s">
        <v>12</v>
      </c>
      <c r="B5" s="113"/>
      <c r="C5" s="113"/>
      <c r="D5" s="113"/>
      <c r="E5" s="113"/>
      <c r="F5" s="113"/>
      <c r="G5" s="113"/>
      <c r="H5" s="113"/>
      <c r="I5" s="112"/>
      <c r="J5" s="35"/>
      <c r="K5" s="35"/>
      <c r="L5" s="12"/>
      <c r="M5" s="111" t="s">
        <v>12</v>
      </c>
      <c r="N5" s="113"/>
      <c r="O5" s="113"/>
      <c r="P5" s="113"/>
      <c r="Q5" s="113"/>
      <c r="R5" s="113"/>
      <c r="S5" s="113"/>
      <c r="T5" s="113"/>
      <c r="U5" s="112"/>
      <c r="V5" s="12"/>
    </row>
    <row r="6" spans="1:22" ht="15.75" customHeight="1" thickBot="1" x14ac:dyDescent="0.25">
      <c r="A6" s="7" t="s">
        <v>11</v>
      </c>
      <c r="B6" s="8" t="s">
        <v>13</v>
      </c>
      <c r="C6" s="57">
        <v>93.40216322517206</v>
      </c>
      <c r="D6" s="58">
        <v>91.827126532236434</v>
      </c>
      <c r="E6" s="58">
        <v>90.558689954065343</v>
      </c>
      <c r="F6" s="58">
        <v>86.023376788149832</v>
      </c>
      <c r="G6" s="58">
        <v>80.076301121405308</v>
      </c>
      <c r="H6" s="58">
        <v>61.71287813908426</v>
      </c>
      <c r="I6" s="59">
        <v>46.423510007295327</v>
      </c>
      <c r="J6" s="35" cm="1">
        <f t="array" ref="J6">-SUMPRODUCT((D1:H1-C1:G1)*(C6:G6+D6:H6)/2)</f>
        <v>79.00453781318754</v>
      </c>
      <c r="K6" s="35" cm="1">
        <f t="array" ref="K6">-SUMPRODUCT((D1:I1-C1:H1)*(C6:H6+D6:I6)/2)</f>
        <v>81.707947516847028</v>
      </c>
      <c r="L6" s="12" t="str">
        <f>"    "&amp;_xlfn.TEXTJOIN(", ",TRUE,C6:I6)&amp;","</f>
        <v xml:space="preserve">    93.4021632251721, 91.8271265322364, 90.5586899540653, 86.0233767881498, 80.0763011214053, 61.7128781390843, 46.4235100072953,</v>
      </c>
      <c r="M6" s="7" t="s">
        <v>11</v>
      </c>
      <c r="N6" s="8" t="s">
        <v>13</v>
      </c>
      <c r="O6" s="57">
        <v>3.395734543818977</v>
      </c>
      <c r="P6" s="58">
        <v>4.0701241715569392</v>
      </c>
      <c r="Q6" s="58">
        <v>4.2545139093922257</v>
      </c>
      <c r="R6" s="58">
        <v>5.0550386107492153</v>
      </c>
      <c r="S6" s="58">
        <v>5.5998181447012403</v>
      </c>
      <c r="T6" s="58">
        <v>8.7815136499154747</v>
      </c>
      <c r="U6" s="59">
        <v>8.6649338950065129</v>
      </c>
      <c r="V6" s="12" t="str">
        <f t="shared" ref="V6:V7" si="1">"    "&amp;_xlfn.TEXTJOIN(", ",TRUE,O6:U6)&amp;","</f>
        <v xml:space="preserve">    3.39573454381898, 4.07012417155694, 4.25451390939223, 5.05503861074922, 5.59981814470124, 8.78151364991547, 8.66493389500651,</v>
      </c>
    </row>
    <row r="7" spans="1:22" ht="15.75" customHeight="1" thickBot="1" x14ac:dyDescent="0.25">
      <c r="A7" s="7" t="s">
        <v>11</v>
      </c>
      <c r="B7" s="8" t="s">
        <v>14</v>
      </c>
      <c r="C7" s="57">
        <v>92.691248770894788</v>
      </c>
      <c r="D7" s="58">
        <v>92.706981317600793</v>
      </c>
      <c r="E7" s="58">
        <v>91.734513274336265</v>
      </c>
      <c r="F7" s="58">
        <v>88.867553640890762</v>
      </c>
      <c r="G7" s="58">
        <v>87.5647050003316</v>
      </c>
      <c r="H7" s="58">
        <v>75.623785672886441</v>
      </c>
      <c r="I7" s="59">
        <v>48.831339371447839</v>
      </c>
      <c r="J7" s="35" cm="1">
        <f t="array" ref="J7">-SUMPRODUCT((D1:H1-C1:G1)*(C7:G7+D7:H7)/2)</f>
        <v>81.271209742298794</v>
      </c>
      <c r="K7" s="35" cm="1">
        <f t="array" ref="K7">-SUMPRODUCT((D1:I1-C1:H1)*(C7:H7+D7:I7)/2)</f>
        <v>84.382587868407157</v>
      </c>
      <c r="L7" s="12" t="str">
        <f>"    "&amp;_xlfn.TEXTJOIN(", ",TRUE,C7:I7)&amp;","</f>
        <v xml:space="preserve">    92.6912487708948, 92.7069813176008, 91.7345132743363, 88.8675536408908, 87.5647050003316, 75.6237856728864, 48.8313393714478,</v>
      </c>
      <c r="M7" s="7" t="s">
        <v>11</v>
      </c>
      <c r="N7" s="8" t="s">
        <v>14</v>
      </c>
      <c r="O7" s="57">
        <v>3.1492092951527728</v>
      </c>
      <c r="P7" s="58">
        <v>3.3182076336991431</v>
      </c>
      <c r="Q7" s="58">
        <v>3.198166186176159</v>
      </c>
      <c r="R7" s="58">
        <v>3.1321269598885868</v>
      </c>
      <c r="S7" s="58">
        <v>3.0750631997727318</v>
      </c>
      <c r="T7" s="58">
        <v>5.166114204995413</v>
      </c>
      <c r="U7" s="59">
        <v>5.9316401890770027</v>
      </c>
      <c r="V7" s="12" t="str">
        <f t="shared" si="1"/>
        <v xml:space="preserve">    3.14920929515277, 3.31820763369914, 3.19816618617616, 3.13212695988859, 3.07506319977273, 5.16611420499541, 5.931640189077,</v>
      </c>
    </row>
    <row r="8" spans="1:22" ht="15.75" thickBot="1" x14ac:dyDescent="0.25">
      <c r="A8" s="111" t="s">
        <v>20</v>
      </c>
      <c r="B8" s="113"/>
      <c r="C8" s="116"/>
      <c r="D8" s="116"/>
      <c r="E8" s="116"/>
      <c r="F8" s="116"/>
      <c r="G8" s="116"/>
      <c r="H8" s="116"/>
      <c r="I8" s="110"/>
      <c r="J8" s="35"/>
      <c r="K8" s="35"/>
      <c r="L8" s="12"/>
      <c r="M8" s="111" t="s">
        <v>20</v>
      </c>
      <c r="N8" s="113"/>
      <c r="O8" s="116"/>
      <c r="P8" s="116"/>
      <c r="Q8" s="116"/>
      <c r="R8" s="116"/>
      <c r="S8" s="116"/>
      <c r="T8" s="116"/>
      <c r="U8" s="110"/>
      <c r="V8" s="12"/>
    </row>
    <row r="9" spans="1:22" ht="15.75" customHeight="1" thickBot="1" x14ac:dyDescent="0.25">
      <c r="A9" s="111" t="s">
        <v>7</v>
      </c>
      <c r="B9" s="112"/>
      <c r="C9" s="31">
        <v>93.782740335124032</v>
      </c>
      <c r="D9" s="32">
        <v>91.948208894540599</v>
      </c>
      <c r="E9" s="32">
        <v>90.212980504444957</v>
      </c>
      <c r="F9" s="32">
        <v>84.630388959535409</v>
      </c>
      <c r="G9" s="32">
        <v>75.371093175546491</v>
      </c>
      <c r="H9" s="32">
        <v>59.627211308056303</v>
      </c>
      <c r="I9" s="33">
        <v>47.844185503334799</v>
      </c>
      <c r="J9" s="35" cm="1">
        <f t="array" ref="J9">-SUMPRODUCT((D1:H1-C1:G1)*(C9:G9+D9:H9)/2)</f>
        <v>78.220843605913544</v>
      </c>
      <c r="K9" s="35" cm="1">
        <f t="array" ref="K9">-SUMPRODUCT((D1:I1-C1:H1)*(C9:H9+D9:I9)/2)</f>
        <v>80.907628526198323</v>
      </c>
      <c r="L9" s="12" t="str">
        <f>"    "&amp;_xlfn.TEXTJOIN(", ",TRUE,C9:I9)&amp;","</f>
        <v xml:space="preserve">    93.782740335124, 91.9482088945406, 90.212980504445, 84.6303889595354, 75.3710931755465, 59.6272113080563, 47.8441855033348,</v>
      </c>
      <c r="M9" s="111" t="s">
        <v>7</v>
      </c>
      <c r="N9" s="112"/>
      <c r="O9" s="31">
        <v>3.5391983918820551</v>
      </c>
      <c r="P9" s="32">
        <v>4.1060038651541966</v>
      </c>
      <c r="Q9" s="32">
        <v>4.774795806468676</v>
      </c>
      <c r="R9" s="32">
        <v>5.3483339064680431</v>
      </c>
      <c r="S9" s="32">
        <v>8.0994903921197494</v>
      </c>
      <c r="T9" s="32">
        <v>10.59987402205407</v>
      </c>
      <c r="U9" s="33">
        <v>8.7604668874903737</v>
      </c>
      <c r="V9" s="12" t="str">
        <f t="shared" ref="V9:V12" si="2">"    "&amp;_xlfn.TEXTJOIN(", ",TRUE,O9:U9)&amp;","</f>
        <v xml:space="preserve">    3.53919839188206, 4.1060038651542, 4.77479580646868, 5.34833390646804, 8.09949039211975, 10.5998740220541, 8.76046688749037,</v>
      </c>
    </row>
    <row r="10" spans="1:22" ht="15.75" customHeight="1" thickBot="1" x14ac:dyDescent="0.25">
      <c r="A10" s="102" t="s">
        <v>8</v>
      </c>
      <c r="B10" s="110"/>
      <c r="C10" s="34">
        <v>93.226230330712227</v>
      </c>
      <c r="D10" s="35">
        <v>91.83329152212967</v>
      </c>
      <c r="E10" s="35">
        <v>90.325291164571794</v>
      </c>
      <c r="F10" s="35">
        <v>85.383492360083878</v>
      </c>
      <c r="G10" s="35">
        <v>76.567000291236639</v>
      </c>
      <c r="H10" s="35">
        <v>59.41454222499042</v>
      </c>
      <c r="I10" s="36">
        <v>50.563407411252108</v>
      </c>
      <c r="J10" s="35" cm="1">
        <f t="array" ref="J10">-SUMPRODUCT((D1:H1-C1:G1)*(C10:G10+D10:H10)/2)</f>
        <v>78.369743178285859</v>
      </c>
      <c r="K10" s="35" cm="1">
        <f t="array" ref="K10">-SUMPRODUCT((D1:I1-C1:H1)*(C10:H10+D10:I10)/2)</f>
        <v>81.11919191919192</v>
      </c>
      <c r="L10" s="12" t="str">
        <f>"    "&amp;_xlfn.TEXTJOIN(", ",TRUE,C10:I10)&amp;","</f>
        <v xml:space="preserve">    93.2262303307122, 91.8332915221297, 90.3252911645718, 85.3834923600839, 76.5670002912366, 59.4145422249904, 50.5634074112521,</v>
      </c>
      <c r="M10" s="111" t="s">
        <v>8</v>
      </c>
      <c r="N10" s="112"/>
      <c r="O10" s="34">
        <v>3.945711842949601</v>
      </c>
      <c r="P10" s="35">
        <v>4.8525950161134093</v>
      </c>
      <c r="Q10" s="35">
        <v>4.4346894499148144</v>
      </c>
      <c r="R10" s="35">
        <v>5.4810029574676529</v>
      </c>
      <c r="S10" s="35">
        <v>8.4636725644600066</v>
      </c>
      <c r="T10" s="35">
        <v>10.788297692871961</v>
      </c>
      <c r="U10" s="36">
        <v>8.7433484877826491</v>
      </c>
      <c r="V10" s="12" t="str">
        <f t="shared" si="2"/>
        <v xml:space="preserve">    3.9457118429496, 4.85259501611341, 4.43468944991481, 5.48100295746765, 8.46367256446001, 10.788297692872, 8.74334848778265,</v>
      </c>
    </row>
    <row r="11" spans="1:22" ht="15.75" customHeight="1" thickBot="1" x14ac:dyDescent="0.25">
      <c r="A11" s="111" t="s">
        <v>21</v>
      </c>
      <c r="B11" s="112"/>
      <c r="C11" s="34">
        <v>93.004922187908207</v>
      </c>
      <c r="D11" s="35">
        <v>91.518502178507859</v>
      </c>
      <c r="E11" s="35">
        <v>89.729420958082102</v>
      </c>
      <c r="F11" s="35">
        <v>83.348607398564567</v>
      </c>
      <c r="G11" s="35">
        <v>74.087719905304837</v>
      </c>
      <c r="H11" s="35">
        <v>57.917332041511322</v>
      </c>
      <c r="I11" s="36">
        <v>48.007794185070807</v>
      </c>
      <c r="J11" s="35" cm="1">
        <f t="array" ref="J11">-SUMPRODUCT((D1:H1-C1:G1)*(C11:G11+D11:H11)/2)</f>
        <v>77.501290236074709</v>
      </c>
      <c r="K11" s="35" cm="1">
        <f t="array" ref="K11">-SUMPRODUCT((D1:I1-C1:H1)*(C11:H11+D11:I11)/2)</f>
        <v>80.14941839173926</v>
      </c>
      <c r="L11" s="12" t="str">
        <f>"    "&amp;_xlfn.TEXTJOIN(", ",TRUE,C11:I11)&amp;","</f>
        <v xml:space="preserve">    93.0049221879082, 91.5185021785079, 89.7294209580821, 83.3486073985646, 74.0877199053048, 57.9173320415113, 48.0077941850708,</v>
      </c>
      <c r="M11" s="111" t="s">
        <v>21</v>
      </c>
      <c r="N11" s="112"/>
      <c r="O11" s="34">
        <v>3.690401528555848</v>
      </c>
      <c r="P11" s="35">
        <v>4.2469367469027457</v>
      </c>
      <c r="Q11" s="35">
        <v>4.4611096369834957</v>
      </c>
      <c r="R11" s="35">
        <v>5.4089286426803449</v>
      </c>
      <c r="S11" s="35">
        <v>9.092124974067179</v>
      </c>
      <c r="T11" s="35">
        <v>10.83557708581068</v>
      </c>
      <c r="U11" s="36">
        <v>9.2904800440053528</v>
      </c>
      <c r="V11" s="12" t="str">
        <f t="shared" si="2"/>
        <v xml:space="preserve">    3.69040152855585, 4.24693674690275, 4.4611096369835, 5.40892864268034, 9.09212497406718, 10.8355770858107, 9.29048004400535,</v>
      </c>
    </row>
    <row r="12" spans="1:22" ht="15.75" customHeight="1" thickBot="1" x14ac:dyDescent="0.25">
      <c r="A12" s="111" t="s">
        <v>22</v>
      </c>
      <c r="B12" s="112"/>
      <c r="C12" s="37">
        <v>93.123279613145442</v>
      </c>
      <c r="D12" s="38">
        <v>91.674385879923975</v>
      </c>
      <c r="E12" s="38">
        <v>89.698688281617194</v>
      </c>
      <c r="F12" s="38">
        <v>84.957067102656595</v>
      </c>
      <c r="G12" s="38">
        <v>75.939082518014857</v>
      </c>
      <c r="H12" s="38">
        <v>59.995092229748238</v>
      </c>
      <c r="I12" s="39">
        <v>48.440303693515233</v>
      </c>
      <c r="J12" s="35" cm="1">
        <f t="array" ref="J12">-SUMPRODUCT((D1:H1-C1:G1)*(C12:G12+D12:H12)/2)</f>
        <v>78.078434213675436</v>
      </c>
      <c r="K12" s="35" cm="1">
        <f t="array" ref="K12">-SUMPRODUCT((D1:I1-C1:H1)*(C12:H12+D12:I12)/2)</f>
        <v>80.789319111757024</v>
      </c>
      <c r="L12" s="12" t="str">
        <f>"    "&amp;_xlfn.TEXTJOIN(", ",TRUE,C12:I12)&amp;","</f>
        <v xml:space="preserve">    93.1232796131454, 91.674385879924, 89.6986882816172, 84.9570671026566, 75.9390825180149, 59.9950922297482, 48.4403036935152,</v>
      </c>
      <c r="M12" s="111" t="s">
        <v>22</v>
      </c>
      <c r="N12" s="112"/>
      <c r="O12" s="37">
        <v>3.8088682011350912</v>
      </c>
      <c r="P12" s="38">
        <v>4.4783864386850611</v>
      </c>
      <c r="Q12" s="38">
        <v>5.0849840192173117</v>
      </c>
      <c r="R12" s="38">
        <v>5.0366327026230584</v>
      </c>
      <c r="S12" s="38">
        <v>7.6643798786674449</v>
      </c>
      <c r="T12" s="38">
        <v>10.05146904627655</v>
      </c>
      <c r="U12" s="39">
        <v>9.821397671709315</v>
      </c>
      <c r="V12" s="12" t="str">
        <f t="shared" si="2"/>
        <v xml:space="preserve">    3.80886820113509, 4.47838643868506, 5.08498401921731, 5.03663270262306, 7.66437987866744, 10.0514690462765, 9.82139767170931,</v>
      </c>
    </row>
    <row r="13" spans="1:22" ht="15.75" customHeight="1" thickBot="1" x14ac:dyDescent="0.25">
      <c r="A13" s="111" t="s">
        <v>23</v>
      </c>
      <c r="B13" s="113"/>
      <c r="C13" s="114"/>
      <c r="D13" s="114"/>
      <c r="E13" s="114"/>
      <c r="F13" s="114"/>
      <c r="G13" s="114"/>
      <c r="H13" s="114"/>
      <c r="I13" s="115"/>
      <c r="J13" s="35"/>
      <c r="K13" s="35"/>
      <c r="L13" s="12"/>
      <c r="M13" s="111" t="s">
        <v>23</v>
      </c>
      <c r="N13" s="113"/>
      <c r="O13" s="114"/>
      <c r="P13" s="114"/>
      <c r="Q13" s="114"/>
      <c r="R13" s="114"/>
      <c r="S13" s="114"/>
      <c r="T13" s="114"/>
      <c r="U13" s="115"/>
      <c r="V13" s="12"/>
    </row>
    <row r="14" spans="1:22" ht="15.75" customHeight="1" thickBot="1" x14ac:dyDescent="0.25">
      <c r="A14" s="111" t="s">
        <v>7</v>
      </c>
      <c r="B14" s="112"/>
      <c r="C14" s="31">
        <v>92.969518190757128</v>
      </c>
      <c r="D14" s="32">
        <v>91.851524090462149</v>
      </c>
      <c r="E14" s="32">
        <v>90.756145526057011</v>
      </c>
      <c r="F14" s="32">
        <v>87.253136561158271</v>
      </c>
      <c r="G14" s="32">
        <v>81.178972136437139</v>
      </c>
      <c r="H14" s="32">
        <v>57.386929529378847</v>
      </c>
      <c r="I14" s="33">
        <v>44.855442809482213</v>
      </c>
      <c r="J14" s="35" cm="1">
        <f t="array" ref="J14">-SUMPRODUCT((D1:H1-C1:G1)*(C14:G14+D14:H14)/2)</f>
        <v>79.079417714109411</v>
      </c>
      <c r="K14" s="35" cm="1">
        <f t="array" ref="K14">-SUMPRODUCT((D1:I1-C1:H1)*(C14:H14+D14:I14)/2)</f>
        <v>81.635477022580943</v>
      </c>
      <c r="L14" s="12" t="str">
        <f>"    "&amp;_xlfn.TEXTJOIN(", ",TRUE,C14:I14)&amp;","</f>
        <v xml:space="preserve">    92.9695181907571, 91.8515240904621, 90.756145526057, 87.2531365611583, 81.1789721364371, 57.3869295293788, 44.8554428094822,</v>
      </c>
      <c r="M14" s="111" t="s">
        <v>7</v>
      </c>
      <c r="N14" s="112"/>
      <c r="O14" s="31">
        <v>3.3991921823554931</v>
      </c>
      <c r="P14" s="32">
        <v>3.6561489783789969</v>
      </c>
      <c r="Q14" s="32">
        <v>3.4316179388806831</v>
      </c>
      <c r="R14" s="32">
        <v>3.3610781227617821</v>
      </c>
      <c r="S14" s="32">
        <v>5.2773835873092807</v>
      </c>
      <c r="T14" s="32">
        <v>8.2027130196510409</v>
      </c>
      <c r="U14" s="33">
        <v>5.203571843512913</v>
      </c>
      <c r="V14" s="12" t="str">
        <f t="shared" ref="V14:V17" si="3">"    "&amp;_xlfn.TEXTJOIN(", ",TRUE,O14:U14)&amp;","</f>
        <v xml:space="preserve">    3.39919218235549, 3.656148978379, 3.43161793888068, 3.36107812276178, 5.27738358730928, 8.20271301965104, 5.20357184351291,</v>
      </c>
    </row>
    <row r="15" spans="1:22" ht="15.75" customHeight="1" thickBot="1" x14ac:dyDescent="0.25">
      <c r="A15" s="102" t="s">
        <v>8</v>
      </c>
      <c r="B15" s="110"/>
      <c r="C15" s="34">
        <v>91.898721730580135</v>
      </c>
      <c r="D15" s="35">
        <v>90.765995668936</v>
      </c>
      <c r="E15" s="35">
        <v>89.705268500015848</v>
      </c>
      <c r="F15" s="35">
        <v>87.959685349065893</v>
      </c>
      <c r="G15" s="35">
        <v>85.750000720882824</v>
      </c>
      <c r="H15" s="35">
        <v>71.387388010853613</v>
      </c>
      <c r="I15" s="36">
        <v>45.596343105620853</v>
      </c>
      <c r="J15" s="35" cm="1">
        <f t="array" ref="J15">-SUMPRODUCT((D1:H1-C1:G1)*(C15:G15+D15:H15)/2)</f>
        <v>79.700846821050931</v>
      </c>
      <c r="K15" s="35" cm="1">
        <f t="array" ref="K15">-SUMPRODUCT((D1:I1-C1:H1)*(C15:H15+D15:I15)/2)</f>
        <v>82.625440098962798</v>
      </c>
      <c r="L15" s="12" t="str">
        <f>"    "&amp;_xlfn.TEXTJOIN(", ",TRUE,C15:I15)&amp;","</f>
        <v xml:space="preserve">    91.8987217305801, 90.765995668936, 89.7052685000158, 87.9596853490659, 85.7500007208828, 71.3873880108536, 45.5963431056209,</v>
      </c>
      <c r="M15" s="111" t="s">
        <v>8</v>
      </c>
      <c r="N15" s="112"/>
      <c r="O15" s="34">
        <v>3.190312271555559</v>
      </c>
      <c r="P15" s="35">
        <v>2.8828036064622768</v>
      </c>
      <c r="Q15" s="35">
        <v>2.5884740771146331</v>
      </c>
      <c r="R15" s="35">
        <v>2.6213450470877251</v>
      </c>
      <c r="S15" s="35">
        <v>3.203569989687661</v>
      </c>
      <c r="T15" s="35">
        <v>4.756712112750666</v>
      </c>
      <c r="U15" s="36">
        <v>2.488810891584841</v>
      </c>
      <c r="V15" s="12" t="str">
        <f t="shared" si="3"/>
        <v xml:space="preserve">    3.19031227155556, 2.88280360646228, 2.58847407711463, 2.62134504708773, 3.20356998968766, 4.75671211275067, 2.48881089158484,</v>
      </c>
    </row>
    <row r="16" spans="1:22" ht="15.75" customHeight="1" thickBot="1" x14ac:dyDescent="0.25">
      <c r="A16" s="111" t="s">
        <v>21</v>
      </c>
      <c r="B16" s="112"/>
      <c r="C16" s="34">
        <v>93.044276622923505</v>
      </c>
      <c r="D16" s="35">
        <v>91.935155148400938</v>
      </c>
      <c r="E16" s="35">
        <v>90.94889229145582</v>
      </c>
      <c r="F16" s="35">
        <v>85.952505356159378</v>
      </c>
      <c r="G16" s="35">
        <v>78.915183810701947</v>
      </c>
      <c r="H16" s="35">
        <v>59.442100133507502</v>
      </c>
      <c r="I16" s="36">
        <v>49.533828147302302</v>
      </c>
      <c r="J16" s="35" cm="1">
        <f t="array" ref="J16">-SUMPRODUCT((D1:H1-C1:G1)*(C16:G16+D16:H16)/2)</f>
        <v>78.834323321712716</v>
      </c>
      <c r="K16" s="35" cm="1">
        <f t="array" ref="K16">-SUMPRODUCT((D1:I1-C1:H1)*(C16:H16+D16:I16)/2)</f>
        <v>81.55872152873296</v>
      </c>
      <c r="L16" s="12" t="str">
        <f>"    "&amp;_xlfn.TEXTJOIN(", ",TRUE,C16:I16)&amp;","</f>
        <v xml:space="preserve">    93.0442766229235, 91.9351551484009, 90.9488922914558, 85.9525053561594, 78.9151838107019, 59.4421001335075, 49.5338281473023,</v>
      </c>
      <c r="M16" s="111" t="s">
        <v>21</v>
      </c>
      <c r="N16" s="112"/>
      <c r="O16" s="34">
        <v>3.72078192123604</v>
      </c>
      <c r="P16" s="35">
        <v>4.0467152776216686</v>
      </c>
      <c r="Q16" s="35">
        <v>4.0235763627769954</v>
      </c>
      <c r="R16" s="35">
        <v>4.4767633212331157</v>
      </c>
      <c r="S16" s="35">
        <v>7.2019016527503927</v>
      </c>
      <c r="T16" s="35">
        <v>10.04668436860082</v>
      </c>
      <c r="U16" s="36">
        <v>9.2355901481835172</v>
      </c>
      <c r="V16" s="12" t="str">
        <f t="shared" si="3"/>
        <v xml:space="preserve">    3.72078192123604, 4.04671527762167, 4.023576362777, 4.47676332123312, 7.20190165275039, 10.0466843686008, 9.23559014818352,</v>
      </c>
    </row>
    <row r="17" spans="1:22" ht="15.75" customHeight="1" thickBot="1" x14ac:dyDescent="0.25">
      <c r="A17" s="111" t="s">
        <v>22</v>
      </c>
      <c r="B17" s="112"/>
      <c r="C17" s="37">
        <v>93.174110502686005</v>
      </c>
      <c r="D17" s="38">
        <v>91.391724841910417</v>
      </c>
      <c r="E17" s="38">
        <v>89.591539142495463</v>
      </c>
      <c r="F17" s="38">
        <v>84.690597092823751</v>
      </c>
      <c r="G17" s="38">
        <v>76.401347185817656</v>
      </c>
      <c r="H17" s="38">
        <v>59.963667505774268</v>
      </c>
      <c r="I17" s="39">
        <v>47.725577210875521</v>
      </c>
      <c r="J17" s="35" cm="1">
        <f t="array" ref="J17">-SUMPRODUCT((D1:H1-C1:G1)*(C17:G17+D17:H17)/2)</f>
        <v>77.994698988168864</v>
      </c>
      <c r="K17" s="35" cm="1">
        <f t="array" ref="K17">-SUMPRODUCT((D1:I1-C1:H1)*(C17:H17+D17:I17)/2)</f>
        <v>80.686930106085114</v>
      </c>
      <c r="L17" s="12" t="str">
        <f>"    "&amp;_xlfn.TEXTJOIN(", ",TRUE,C17:I17)&amp;","</f>
        <v xml:space="preserve">    93.174110502686, 91.3917248419104, 89.5915391424955, 84.6905970928238, 76.4013471858177, 59.9636675057743, 47.7255772108755,</v>
      </c>
      <c r="M17" s="111" t="s">
        <v>22</v>
      </c>
      <c r="N17" s="112"/>
      <c r="O17" s="37">
        <v>3.8766021792735019</v>
      </c>
      <c r="P17" s="38">
        <v>4.8126411406228078</v>
      </c>
      <c r="Q17" s="38">
        <v>4.6512210016047986</v>
      </c>
      <c r="R17" s="38">
        <v>5.2416066355763284</v>
      </c>
      <c r="S17" s="38">
        <v>8.0769588602235256</v>
      </c>
      <c r="T17" s="38">
        <v>10.657363307561541</v>
      </c>
      <c r="U17" s="39">
        <v>9.200486032966916</v>
      </c>
      <c r="V17" s="12" t="str">
        <f t="shared" si="3"/>
        <v xml:space="preserve">    3.8766021792735, 4.81264114062281, 4.6512210016048, 5.24160663557633, 8.07695886022353, 10.6573633075615, 9.20048603296692,</v>
      </c>
    </row>
    <row r="18" spans="1:22" ht="15" thickBo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2" ht="15.75" thickBot="1" x14ac:dyDescent="0.25">
      <c r="A19" s="4" t="s">
        <v>3</v>
      </c>
      <c r="B19" s="5" t="s">
        <v>1</v>
      </c>
      <c r="C19" s="15">
        <v>1</v>
      </c>
      <c r="D19" s="15">
        <v>0.75</v>
      </c>
      <c r="E19" s="15">
        <v>0.5</v>
      </c>
      <c r="F19" s="15">
        <v>0.3</v>
      </c>
      <c r="G19" s="15">
        <v>0.2</v>
      </c>
      <c r="H19" s="15">
        <v>0.1</v>
      </c>
      <c r="I19" s="5">
        <v>0.05</v>
      </c>
      <c r="J19" s="19"/>
      <c r="K19" s="19"/>
      <c r="L19" s="1"/>
      <c r="M19" s="4" t="s">
        <v>4</v>
      </c>
      <c r="N19" s="5" t="s">
        <v>1</v>
      </c>
      <c r="O19" s="16">
        <v>1</v>
      </c>
      <c r="P19" s="16">
        <v>0.75</v>
      </c>
      <c r="Q19" s="16">
        <v>0.5</v>
      </c>
      <c r="R19" s="16">
        <v>0.3</v>
      </c>
      <c r="S19" s="16">
        <v>0.2</v>
      </c>
      <c r="T19" s="16">
        <v>0.1</v>
      </c>
      <c r="U19" s="2">
        <v>0.05</v>
      </c>
      <c r="V19" s="1"/>
    </row>
    <row r="20" spans="1:22" ht="15.75" thickBot="1" x14ac:dyDescent="0.25">
      <c r="A20" s="98" t="s">
        <v>5</v>
      </c>
      <c r="B20" s="99"/>
      <c r="C20" s="41">
        <v>92.567111769713335</v>
      </c>
      <c r="D20" s="41">
        <v>90.835858608343599</v>
      </c>
      <c r="E20" s="41">
        <v>89.217505339533233</v>
      </c>
      <c r="F20" s="41">
        <v>83.237245964288078</v>
      </c>
      <c r="G20" s="41">
        <v>75.380430844191011</v>
      </c>
      <c r="H20" s="41">
        <v>58.994367187597383</v>
      </c>
      <c r="I20" s="42">
        <v>43.622535641382179</v>
      </c>
      <c r="J20" s="44"/>
      <c r="K20" s="44"/>
      <c r="L20" s="1" t="str">
        <f>"    "&amp;_xlfn.TEXTJOIN(", ",TRUE,C20:I20)&amp;","</f>
        <v xml:space="preserve">    92.5671117697133, 90.8358586083436, 89.2175053395332, 83.2372459642881, 75.380430844191, 58.9943671875974, 43.6225356413822,</v>
      </c>
      <c r="M20" s="98" t="s">
        <v>5</v>
      </c>
      <c r="N20" s="99"/>
      <c r="O20" s="40">
        <v>3.88093621561358</v>
      </c>
      <c r="P20" s="41">
        <v>4.8164746829677396</v>
      </c>
      <c r="Q20" s="41">
        <v>5.2250608386616522</v>
      </c>
      <c r="R20" s="41">
        <v>5.6675721086724113</v>
      </c>
      <c r="S20" s="41">
        <v>8.3263283482936075</v>
      </c>
      <c r="T20" s="41">
        <v>10.49020927094638</v>
      </c>
      <c r="U20" s="42">
        <v>11.060437347759546</v>
      </c>
      <c r="V20" s="1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98" t="s">
        <v>6</v>
      </c>
      <c r="B21" s="99"/>
      <c r="C21" s="41">
        <v>92.866950218042462</v>
      </c>
      <c r="D21" s="41">
        <v>91.242690764745561</v>
      </c>
      <c r="E21" s="41">
        <v>90.137053227698445</v>
      </c>
      <c r="F21" s="41">
        <v>86.080152926613408</v>
      </c>
      <c r="G21" s="41">
        <v>77.410217255196784</v>
      </c>
      <c r="H21" s="41">
        <v>59.676194764980139</v>
      </c>
      <c r="I21" s="42">
        <v>46.395490419404197</v>
      </c>
      <c r="J21" s="44"/>
      <c r="K21" s="44"/>
      <c r="L21" s="1" t="str">
        <f>"    "&amp;_xlfn.TEXTJOIN(", ",TRUE,C21:I21)&amp;","</f>
        <v xml:space="preserve">    92.8669502180425, 91.2426907647456, 90.1370532276984, 86.0801529266134, 77.4102172551968, 59.6761947649801, 46.3954904194042,</v>
      </c>
      <c r="M21" s="98" t="s">
        <v>6</v>
      </c>
      <c r="N21" s="99"/>
      <c r="O21" s="41">
        <v>3.8319643020864191</v>
      </c>
      <c r="P21" s="41">
        <v>4.3603246705255447</v>
      </c>
      <c r="Q21" s="41">
        <v>4.7987735191879262</v>
      </c>
      <c r="R21" s="41">
        <v>5.1262965367330251</v>
      </c>
      <c r="S21" s="41">
        <v>7.087258799823358</v>
      </c>
      <c r="T21" s="41">
        <v>9.7457736576346736</v>
      </c>
      <c r="U21" s="42">
        <v>10.021578856839133</v>
      </c>
      <c r="V21" s="1" t="str">
        <f t="shared" ref="V21:V30" si="4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98" t="s">
        <v>10</v>
      </c>
      <c r="B22" s="99"/>
      <c r="C22" s="28">
        <v>87.268396410214976</v>
      </c>
      <c r="D22" s="29">
        <v>87.256428398686779</v>
      </c>
      <c r="E22" s="29">
        <v>87.822106304170404</v>
      </c>
      <c r="F22" s="29">
        <v>87.68072644235157</v>
      </c>
      <c r="G22" s="29">
        <v>87.144879367185226</v>
      </c>
      <c r="H22" s="29">
        <v>74.976567886515753</v>
      </c>
      <c r="I22" s="30">
        <v>46.41754739488244</v>
      </c>
      <c r="J22" s="44"/>
      <c r="K22" s="44"/>
      <c r="L22" s="1" t="str">
        <f>"    "&amp;_xlfn.TEXTJOIN(", ",TRUE,C22:I22)&amp;","</f>
        <v xml:space="preserve">    87.268396410215, 87.2564283986868, 87.8221063041704, 87.6807264423516, 87.1448793671852, 74.9765678865158, 46.4175473948824,</v>
      </c>
      <c r="M22" s="98" t="s">
        <v>10</v>
      </c>
      <c r="N22" s="99"/>
      <c r="O22" s="28">
        <v>2.610595868561878</v>
      </c>
      <c r="P22" s="29">
        <v>2.3209805270224559</v>
      </c>
      <c r="Q22" s="29">
        <v>2.4426244152699921</v>
      </c>
      <c r="R22" s="29">
        <v>2.2821255442986761</v>
      </c>
      <c r="S22" s="29">
        <v>2.523131741400912</v>
      </c>
      <c r="T22" s="29">
        <v>3.7626100419371111</v>
      </c>
      <c r="U22" s="30">
        <v>4.1161081119796732</v>
      </c>
      <c r="V22" s="1" t="str">
        <f t="shared" si="4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98" t="s">
        <v>12</v>
      </c>
      <c r="B23" s="107"/>
      <c r="C23" s="107"/>
      <c r="D23" s="107"/>
      <c r="E23" s="107"/>
      <c r="F23" s="107"/>
      <c r="G23" s="107"/>
      <c r="H23" s="107"/>
      <c r="I23" s="99"/>
      <c r="J23" s="44"/>
      <c r="K23" s="44"/>
      <c r="L23" s="1"/>
      <c r="M23" s="98" t="s">
        <v>12</v>
      </c>
      <c r="N23" s="107"/>
      <c r="O23" s="107"/>
      <c r="P23" s="107"/>
      <c r="Q23" s="107"/>
      <c r="R23" s="107"/>
      <c r="S23" s="107"/>
      <c r="T23" s="107"/>
      <c r="U23" s="99"/>
      <c r="V23" s="1"/>
    </row>
    <row r="24" spans="1:22" ht="15.75" thickBot="1" x14ac:dyDescent="0.25">
      <c r="A24" s="14" t="s">
        <v>11</v>
      </c>
      <c r="B24" s="9" t="s">
        <v>13</v>
      </c>
      <c r="C24" s="65">
        <v>92.975694513442221</v>
      </c>
      <c r="D24" s="66">
        <v>91.363613749154311</v>
      </c>
      <c r="E24" s="66">
        <v>90.094017961161143</v>
      </c>
      <c r="F24" s="66">
        <v>85.37773791839254</v>
      </c>
      <c r="G24" s="66">
        <v>79.268159049010507</v>
      </c>
      <c r="H24" s="66">
        <v>60.52121651399365</v>
      </c>
      <c r="I24" s="67">
        <v>42.05444880665619</v>
      </c>
      <c r="J24" s="44"/>
      <c r="K24" s="44"/>
      <c r="L24" s="1" t="str">
        <f>"    "&amp;_xlfn.TEXTJOIN(", ",TRUE,C24:I24)&amp;","</f>
        <v xml:space="preserve">    92.9756945134422, 91.3636137491543, 90.0940179611611, 85.3777379183925, 79.2681590490105, 60.5212165139937, 42.0544488066562,</v>
      </c>
      <c r="M24" s="14" t="s">
        <v>11</v>
      </c>
      <c r="N24" s="9" t="s">
        <v>13</v>
      </c>
      <c r="O24" s="65">
        <v>3.782557259829499</v>
      </c>
      <c r="P24" s="66">
        <v>4.4459073754732694</v>
      </c>
      <c r="Q24" s="66">
        <v>4.6323081197737448</v>
      </c>
      <c r="R24" s="66">
        <v>5.3746795640933653</v>
      </c>
      <c r="S24" s="66">
        <v>5.9912912250355319</v>
      </c>
      <c r="T24" s="66">
        <v>9.0901817740237139</v>
      </c>
      <c r="U24" s="67">
        <v>9.5108664952359483</v>
      </c>
      <c r="V24" s="1" t="str">
        <f t="shared" si="4"/>
        <v xml:space="preserve">    3.7825572598295, 4.44590737547327, 4.63230811977374, 5.37467956409337, 5.99129122503553, 9.09018177402371, 9.51086649523595,</v>
      </c>
    </row>
    <row r="25" spans="1:22" ht="15.75" thickBot="1" x14ac:dyDescent="0.25">
      <c r="A25" s="14" t="s">
        <v>11</v>
      </c>
      <c r="B25" s="9" t="s">
        <v>14</v>
      </c>
      <c r="C25" s="65">
        <v>92.311293413260969</v>
      </c>
      <c r="D25" s="66">
        <v>92.333521756806476</v>
      </c>
      <c r="E25" s="66">
        <v>91.381357522919643</v>
      </c>
      <c r="F25" s="66">
        <v>88.560101371956989</v>
      </c>
      <c r="G25" s="66">
        <v>87.278991705998607</v>
      </c>
      <c r="H25" s="66">
        <v>75.38789705567028</v>
      </c>
      <c r="I25" s="67">
        <v>47.478737907175287</v>
      </c>
      <c r="J25" s="44"/>
      <c r="K25" s="44"/>
      <c r="L25" s="1" t="str">
        <f>"    "&amp;_xlfn.TEXTJOIN(", ",TRUE,C25:I25)&amp;","</f>
        <v xml:space="preserve">    92.311293413261, 92.3335217568065, 91.3813575229196, 88.560101371957, 87.2789917059986, 75.3878970556703, 47.4787379071753,</v>
      </c>
      <c r="M25" s="14" t="s">
        <v>11</v>
      </c>
      <c r="N25" s="9" t="s">
        <v>14</v>
      </c>
      <c r="O25" s="65">
        <v>3.45837660705662</v>
      </c>
      <c r="P25" s="66">
        <v>3.6213315124355141</v>
      </c>
      <c r="Q25" s="66">
        <v>3.418827656161032</v>
      </c>
      <c r="R25" s="66">
        <v>3.2543979140806938</v>
      </c>
      <c r="S25" s="66">
        <v>3.202126822778443</v>
      </c>
      <c r="T25" s="66">
        <v>5.2358921781492196</v>
      </c>
      <c r="U25" s="67">
        <v>6.1375770825509051</v>
      </c>
      <c r="V25" s="1" t="str">
        <f t="shared" si="4"/>
        <v xml:space="preserve">    3.45837660705662, 3.62133151243551, 3.41882765616103, 3.25439791408069, 3.20212682277844, 5.23589217814922, 6.13757708255091,</v>
      </c>
    </row>
    <row r="26" spans="1:22" ht="15.75" thickBot="1" x14ac:dyDescent="0.25">
      <c r="A26" s="98" t="s">
        <v>20</v>
      </c>
      <c r="B26" s="107"/>
      <c r="C26" s="117"/>
      <c r="D26" s="117"/>
      <c r="E26" s="117"/>
      <c r="F26" s="117"/>
      <c r="G26" s="117"/>
      <c r="H26" s="117"/>
      <c r="I26" s="101"/>
      <c r="J26" s="44"/>
      <c r="K26" s="44"/>
      <c r="L26" s="1"/>
      <c r="M26" s="98" t="s">
        <v>20</v>
      </c>
      <c r="N26" s="107"/>
      <c r="O26" s="117"/>
      <c r="P26" s="117"/>
      <c r="Q26" s="117"/>
      <c r="R26" s="117"/>
      <c r="S26" s="117"/>
      <c r="T26" s="117"/>
      <c r="U26" s="101"/>
      <c r="V26" s="1"/>
    </row>
    <row r="27" spans="1:22" ht="14.25" customHeight="1" thickBot="1" x14ac:dyDescent="0.25">
      <c r="A27" s="98" t="s">
        <v>7</v>
      </c>
      <c r="B27" s="99"/>
      <c r="C27" s="40">
        <v>93.403798109785029</v>
      </c>
      <c r="D27" s="41">
        <v>91.51700700493744</v>
      </c>
      <c r="E27" s="41">
        <v>89.749880462689262</v>
      </c>
      <c r="F27" s="41">
        <v>83.99730958119234</v>
      </c>
      <c r="G27" s="41">
        <v>74.394962965986878</v>
      </c>
      <c r="H27" s="41">
        <v>58.095582470498513</v>
      </c>
      <c r="I27" s="42">
        <v>44.434812706207254</v>
      </c>
      <c r="J27" s="44"/>
      <c r="K27" s="44"/>
      <c r="L27" s="1" t="str">
        <f>"    "&amp;_xlfn.TEXTJOIN(", ",TRUE,C27:I27)&amp;","</f>
        <v xml:space="preserve">    93.403798109785, 91.5170070049374, 89.7498804626893, 83.9973095811923, 74.3949629659869, 58.0955824704985, 44.4348127062073,</v>
      </c>
      <c r="M27" s="98" t="s">
        <v>7</v>
      </c>
      <c r="N27" s="99"/>
      <c r="O27" s="40">
        <v>3.9553866501853321</v>
      </c>
      <c r="P27" s="41">
        <v>4.517630835861226</v>
      </c>
      <c r="Q27" s="41">
        <v>5.2125425794506972</v>
      </c>
      <c r="R27" s="41">
        <v>5.6477461387684551</v>
      </c>
      <c r="S27" s="41">
        <v>8.6090564713117175</v>
      </c>
      <c r="T27" s="41">
        <v>11.357157347254571</v>
      </c>
      <c r="U27" s="42">
        <v>9.3757621724255777</v>
      </c>
      <c r="V27" s="1" t="str">
        <f t="shared" si="4"/>
        <v xml:space="preserve">    3.95538665018533, 4.51763083586123, 5.2125425794507, 5.64774613876846, 8.60905647131172, 11.3571573472546, 9.37576217242558,</v>
      </c>
    </row>
    <row r="28" spans="1:22" ht="15.75" thickBot="1" x14ac:dyDescent="0.25">
      <c r="A28" s="98" t="s">
        <v>8</v>
      </c>
      <c r="B28" s="99"/>
      <c r="C28" s="43">
        <v>92.778947400409621</v>
      </c>
      <c r="D28" s="44">
        <v>91.450368996373655</v>
      </c>
      <c r="E28" s="44">
        <v>89.879480954542075</v>
      </c>
      <c r="F28" s="44">
        <v>84.748756470336986</v>
      </c>
      <c r="G28" s="44">
        <v>75.627608782580538</v>
      </c>
      <c r="H28" s="44">
        <v>58.300265665116903</v>
      </c>
      <c r="I28" s="45">
        <v>48.584106437626268</v>
      </c>
      <c r="J28" s="44"/>
      <c r="K28" s="44"/>
      <c r="L28" s="1" t="str">
        <f>"    "&amp;_xlfn.TEXTJOIN(", ",TRUE,C28:I28)&amp;","</f>
        <v xml:space="preserve">    92.7789474004096, 91.4503689963737, 89.8794809545421, 84.748756470337, 75.6276087825805, 58.3002656651169, 48.5841064376263,</v>
      </c>
      <c r="M28" s="98" t="s">
        <v>8</v>
      </c>
      <c r="N28" s="99"/>
      <c r="O28" s="43">
        <v>4.3743918396131134</v>
      </c>
      <c r="P28" s="44">
        <v>5.1779143655465321</v>
      </c>
      <c r="Q28" s="44">
        <v>4.8362705721377752</v>
      </c>
      <c r="R28" s="44">
        <v>5.6797782301447892</v>
      </c>
      <c r="S28" s="44">
        <v>9.0190902977959446</v>
      </c>
      <c r="T28" s="44">
        <v>11.000258135261941</v>
      </c>
      <c r="U28" s="45">
        <v>9.2918474149187738</v>
      </c>
      <c r="V28" s="1" t="str">
        <f t="shared" si="4"/>
        <v xml:space="preserve">    4.37439183961311, 5.17791436554653, 4.83627057213778, 5.67977823014479, 9.01909029779594, 11.0002581352619, 9.29184741491877,</v>
      </c>
    </row>
    <row r="29" spans="1:22" ht="15.75" thickBot="1" x14ac:dyDescent="0.25">
      <c r="A29" s="98" t="s">
        <v>21</v>
      </c>
      <c r="B29" s="99"/>
      <c r="C29" s="43">
        <v>92.492055194421354</v>
      </c>
      <c r="D29" s="44">
        <v>91.055738083245984</v>
      </c>
      <c r="E29" s="44">
        <v>89.241264887762341</v>
      </c>
      <c r="F29" s="44">
        <v>82.713601809643421</v>
      </c>
      <c r="G29" s="44">
        <v>73.133677048774885</v>
      </c>
      <c r="H29" s="44">
        <v>56.229205901331248</v>
      </c>
      <c r="I29" s="45">
        <v>43.695396708102962</v>
      </c>
      <c r="J29" s="44"/>
      <c r="K29" s="44"/>
      <c r="L29" s="1" t="str">
        <f>"    "&amp;_xlfn.TEXTJOIN(", ",TRUE,C29:I29)&amp;","</f>
        <v xml:space="preserve">    92.4920551944214, 91.055738083246, 89.2412648877623, 82.7136018096434, 73.1336770487749, 56.2292059013312, 43.695396708103,</v>
      </c>
      <c r="M29" s="98" t="s">
        <v>21</v>
      </c>
      <c r="N29" s="99"/>
      <c r="O29" s="43">
        <v>4.0986250609792014</v>
      </c>
      <c r="P29" s="44">
        <v>4.5926443490712341</v>
      </c>
      <c r="Q29" s="44">
        <v>4.8521598807380544</v>
      </c>
      <c r="R29" s="44">
        <v>5.8188919126166327</v>
      </c>
      <c r="S29" s="44">
        <v>9.5088987825376563</v>
      </c>
      <c r="T29" s="44">
        <v>11.32839542788332</v>
      </c>
      <c r="U29" s="45">
        <v>10.62887090695313</v>
      </c>
      <c r="V29" s="1" t="str">
        <f t="shared" si="4"/>
        <v xml:space="preserve">    4.0986250609792, 4.59264434907123, 4.85215988073805, 5.81889191261663, 9.50889878253766, 11.3283954278833, 10.6288709069531,</v>
      </c>
    </row>
    <row r="30" spans="1:22" ht="15.75" thickBot="1" x14ac:dyDescent="0.25">
      <c r="A30" s="98" t="s">
        <v>22</v>
      </c>
      <c r="B30" s="99"/>
      <c r="C30" s="46">
        <v>92.657174075741665</v>
      </c>
      <c r="D30" s="47">
        <v>91.208050814372243</v>
      </c>
      <c r="E30" s="47">
        <v>89.170455678091372</v>
      </c>
      <c r="F30" s="47">
        <v>84.474616062770011</v>
      </c>
      <c r="G30" s="47">
        <v>75.066668593640316</v>
      </c>
      <c r="H30" s="47">
        <v>58.520340993368222</v>
      </c>
      <c r="I30" s="48">
        <v>44.786141592049418</v>
      </c>
      <c r="J30" s="51"/>
      <c r="K30" s="51"/>
      <c r="L30" s="1" t="str">
        <f>"    "&amp;_xlfn.TEXTJOIN(", ",TRUE,C30:I30)&amp;","</f>
        <v xml:space="preserve">    92.6571740757417, 91.2080508143722, 89.1704556780914, 84.47461606277, 75.0666685936403, 58.5203409933682, 44.7861415920494,</v>
      </c>
      <c r="M30" s="98" t="s">
        <v>22</v>
      </c>
      <c r="N30" s="99"/>
      <c r="O30" s="46">
        <v>4.2589004392769629</v>
      </c>
      <c r="P30" s="47">
        <v>4.8517186601265534</v>
      </c>
      <c r="Q30" s="47">
        <v>5.6717673083496472</v>
      </c>
      <c r="R30" s="47">
        <v>5.3079507961921779</v>
      </c>
      <c r="S30" s="47">
        <v>7.7884705615072454</v>
      </c>
      <c r="T30" s="47">
        <v>10.595563377926201</v>
      </c>
      <c r="U30" s="48">
        <v>10.945843294214329</v>
      </c>
      <c r="V30" s="1" t="str">
        <f t="shared" si="4"/>
        <v xml:space="preserve">    4.25890043927696, 4.85171866012655, 5.67176730834965, 5.30795079619218, 7.78847056150725, 10.5955633779262, 10.9458432942143,</v>
      </c>
    </row>
    <row r="31" spans="1:22" ht="15.75" customHeight="1" thickBot="1" x14ac:dyDescent="0.25">
      <c r="A31" s="98" t="s">
        <v>23</v>
      </c>
      <c r="B31" s="107"/>
      <c r="C31" s="108"/>
      <c r="D31" s="108"/>
      <c r="E31" s="108"/>
      <c r="F31" s="108"/>
      <c r="G31" s="108"/>
      <c r="H31" s="108"/>
      <c r="I31" s="109"/>
      <c r="J31" s="44"/>
      <c r="K31" s="44"/>
      <c r="L31" s="1"/>
      <c r="M31" s="98" t="s">
        <v>23</v>
      </c>
      <c r="N31" s="107"/>
      <c r="O31" s="108"/>
      <c r="P31" s="108"/>
      <c r="Q31" s="108"/>
      <c r="R31" s="108"/>
      <c r="S31" s="108"/>
      <c r="T31" s="108"/>
      <c r="U31" s="109"/>
      <c r="V31" s="1"/>
    </row>
    <row r="32" spans="1:22" ht="15.75" customHeight="1" thickBot="1" x14ac:dyDescent="0.25">
      <c r="A32" s="98" t="s">
        <v>7</v>
      </c>
      <c r="B32" s="99"/>
      <c r="C32" s="40">
        <v>92.603769819293618</v>
      </c>
      <c r="D32" s="41">
        <v>91.431947068352812</v>
      </c>
      <c r="E32" s="41">
        <v>90.390795042999585</v>
      </c>
      <c r="F32" s="41">
        <v>86.789562828222273</v>
      </c>
      <c r="G32" s="41">
        <v>80.615554033052248</v>
      </c>
      <c r="H32" s="41">
        <v>56.609578553133908</v>
      </c>
      <c r="I32" s="42">
        <v>41.27928062292434</v>
      </c>
      <c r="J32" s="44"/>
      <c r="K32" s="44"/>
      <c r="L32" s="1" t="str">
        <f>"    "&amp;_xlfn.TEXTJOIN(", ",TRUE,C32:I32)&amp;","</f>
        <v xml:space="preserve">    92.6037698192936, 91.4319470683528, 90.3907950429996, 86.7895628282223, 80.6155540330522, 56.6095785531339, 41.2792806229243,</v>
      </c>
      <c r="M32" s="98" t="s">
        <v>7</v>
      </c>
      <c r="N32" s="99"/>
      <c r="O32" s="40">
        <v>3.708759274801273</v>
      </c>
      <c r="P32" s="41">
        <v>3.9640390541215931</v>
      </c>
      <c r="Q32" s="41">
        <v>3.7067998106756881</v>
      </c>
      <c r="R32" s="41">
        <v>3.667452632531309</v>
      </c>
      <c r="S32" s="41">
        <v>5.7548227051500218</v>
      </c>
      <c r="T32" s="41">
        <v>8.5366536877555248</v>
      </c>
      <c r="U32" s="42">
        <v>6.3187793027043018</v>
      </c>
      <c r="V32" s="1" t="str">
        <f t="shared" ref="V32:V35" si="5">"    "&amp;_xlfn.TEXTJOIN(", ",TRUE,O32:U32)&amp;","</f>
        <v xml:space="preserve">    3.70875927480127, 3.96403905412159, 3.70679981067569, 3.66745263253131, 5.75482270515002, 8.53665368775552, 6.3187793027043,</v>
      </c>
    </row>
    <row r="33" spans="1:22" ht="15.75" customHeight="1" thickBot="1" x14ac:dyDescent="0.25">
      <c r="A33" s="100" t="s">
        <v>8</v>
      </c>
      <c r="B33" s="101"/>
      <c r="C33" s="43">
        <v>91.377634404932721</v>
      </c>
      <c r="D33" s="44">
        <v>90.405373333245066</v>
      </c>
      <c r="E33" s="44">
        <v>89.371480308332721</v>
      </c>
      <c r="F33" s="44">
        <v>87.60989862639515</v>
      </c>
      <c r="G33" s="44">
        <v>85.537230701510694</v>
      </c>
      <c r="H33" s="44">
        <v>70.930708745421484</v>
      </c>
      <c r="I33" s="45">
        <v>44.097326232806537</v>
      </c>
      <c r="J33" s="44"/>
      <c r="K33" s="44"/>
      <c r="L33" s="1" t="str">
        <f>"    "&amp;_xlfn.TEXTJOIN(", ",TRUE,C33:I33)&amp;","</f>
        <v xml:space="preserve">    91.3776344049327, 90.4053733332451, 89.3714803083327, 87.6098986263952, 85.5372307015107, 70.9307087454215, 44.0973262328065,</v>
      </c>
      <c r="M33" s="98" t="s">
        <v>8</v>
      </c>
      <c r="N33" s="99"/>
      <c r="O33" s="43">
        <v>3.5684194304484111</v>
      </c>
      <c r="P33" s="44">
        <v>3.0347581440341318</v>
      </c>
      <c r="Q33" s="44">
        <v>2.754130276526872</v>
      </c>
      <c r="R33" s="44">
        <v>2.7768782002466339</v>
      </c>
      <c r="S33" s="44">
        <v>3.3184641894178428</v>
      </c>
      <c r="T33" s="44">
        <v>4.9795199020249923</v>
      </c>
      <c r="U33" s="45">
        <v>2.9223071611371929</v>
      </c>
      <c r="V33" s="1" t="str">
        <f t="shared" si="5"/>
        <v xml:space="preserve">    3.56841943044841, 3.03475814403413, 2.75413027652687, 2.77687820024663, 3.31846418941784, 4.97951990202499, 2.92230716113719,</v>
      </c>
    </row>
    <row r="34" spans="1:22" ht="15.75" customHeight="1" thickBot="1" x14ac:dyDescent="0.25">
      <c r="A34" s="98" t="s">
        <v>21</v>
      </c>
      <c r="B34" s="99"/>
      <c r="C34" s="43">
        <v>92.603715202692385</v>
      </c>
      <c r="D34" s="44">
        <v>91.484997502720319</v>
      </c>
      <c r="E34" s="44">
        <v>90.630171299324857</v>
      </c>
      <c r="F34" s="44">
        <v>85.342034697064548</v>
      </c>
      <c r="G34" s="44">
        <v>78.208607944308184</v>
      </c>
      <c r="H34" s="44">
        <v>58.188767254712552</v>
      </c>
      <c r="I34" s="45">
        <v>45.468919562576168</v>
      </c>
      <c r="J34" s="44"/>
      <c r="K34" s="44"/>
      <c r="L34" s="1" t="str">
        <f>"    "&amp;_xlfn.TEXTJOIN(", ",TRUE,C34:I34)&amp;","</f>
        <v xml:space="preserve">    92.6037152026924, 91.4849975027203, 90.6301712993249, 85.3420346970645, 78.2086079443082, 58.1887672547126, 45.4689195625762,</v>
      </c>
      <c r="M34" s="98" t="s">
        <v>21</v>
      </c>
      <c r="N34" s="99"/>
      <c r="O34" s="43">
        <v>4.0727132923350373</v>
      </c>
      <c r="P34" s="44">
        <v>4.4231285957629458</v>
      </c>
      <c r="Q34" s="44">
        <v>4.3011534303531356</v>
      </c>
      <c r="R34" s="44">
        <v>4.8453894583465429</v>
      </c>
      <c r="S34" s="44">
        <v>7.5589700135942426</v>
      </c>
      <c r="T34" s="44">
        <v>10.3740336621021</v>
      </c>
      <c r="U34" s="45">
        <v>10.707618741543239</v>
      </c>
      <c r="V34" s="1" t="str">
        <f t="shared" si="5"/>
        <v xml:space="preserve">    4.07271329233504, 4.42312859576295, 4.30115343035314, 4.84538945834654, 7.55897001359424, 10.3740336621021, 10.7076187415432,</v>
      </c>
    </row>
    <row r="35" spans="1:22" ht="15.75" customHeight="1" thickBot="1" x14ac:dyDescent="0.25">
      <c r="A35" s="98" t="s">
        <v>22</v>
      </c>
      <c r="B35" s="99"/>
      <c r="C35" s="46">
        <v>92.692685851985146</v>
      </c>
      <c r="D35" s="47">
        <v>91.028008929063319</v>
      </c>
      <c r="E35" s="47">
        <v>89.101176850288709</v>
      </c>
      <c r="F35" s="47">
        <v>84.121695311135312</v>
      </c>
      <c r="G35" s="47">
        <v>75.514536359946376</v>
      </c>
      <c r="H35" s="47">
        <v>58.551851548300363</v>
      </c>
      <c r="I35" s="48">
        <v>43.528644478603361</v>
      </c>
      <c r="J35" s="44"/>
      <c r="K35" s="44"/>
      <c r="L35" s="1" t="str">
        <f>"    "&amp;_xlfn.TEXTJOIN(", ",TRUE,C35:I35)&amp;","</f>
        <v xml:space="preserve">    92.6926858519851, 91.0280089290633, 89.1011768502887, 84.1216953111353, 75.5145363599464, 58.5518515483004, 43.5286444786034,</v>
      </c>
      <c r="M35" s="98" t="s">
        <v>22</v>
      </c>
      <c r="N35" s="99"/>
      <c r="O35" s="46">
        <v>4.3508377678439567</v>
      </c>
      <c r="P35" s="47">
        <v>5.1455197984597092</v>
      </c>
      <c r="Q35" s="47">
        <v>5.0319449257944937</v>
      </c>
      <c r="R35" s="47">
        <v>5.4881092234662896</v>
      </c>
      <c r="S35" s="47">
        <v>8.3963724907401343</v>
      </c>
      <c r="T35" s="47">
        <v>11.26477476806841</v>
      </c>
      <c r="U35" s="48">
        <v>10.478269846537319</v>
      </c>
      <c r="V35" s="1" t="str">
        <f t="shared" si="5"/>
        <v xml:space="preserve">    4.35083776784396, 5.14551979845971, 5.03194492579449, 5.48810922346629, 8.39637249074013, 11.2647747680684, 10.4782698465373,</v>
      </c>
    </row>
    <row r="36" spans="1:22" ht="15" x14ac:dyDescent="0.2"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2" ht="15" x14ac:dyDescent="0.2"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2" ht="15" x14ac:dyDescent="0.2"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2" ht="15" x14ac:dyDescent="0.2"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2" ht="15" x14ac:dyDescent="0.2"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2" ht="15" x14ac:dyDescent="0.2"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</sheetData>
  <mergeCells count="56">
    <mergeCell ref="A2:B2"/>
    <mergeCell ref="M2:N2"/>
    <mergeCell ref="A3:B3"/>
    <mergeCell ref="M3:N3"/>
    <mergeCell ref="A4:B4"/>
    <mergeCell ref="M4:N4"/>
    <mergeCell ref="A5:I5"/>
    <mergeCell ref="M5:U5"/>
    <mergeCell ref="A8:I8"/>
    <mergeCell ref="M8:U8"/>
    <mergeCell ref="A9:B9"/>
    <mergeCell ref="M9:N9"/>
    <mergeCell ref="A10:B10"/>
    <mergeCell ref="M10:N10"/>
    <mergeCell ref="A11:B11"/>
    <mergeCell ref="M11:N11"/>
    <mergeCell ref="A12:B12"/>
    <mergeCell ref="M12:N12"/>
    <mergeCell ref="A13:I13"/>
    <mergeCell ref="M13:U13"/>
    <mergeCell ref="A14:B14"/>
    <mergeCell ref="M14:N14"/>
    <mergeCell ref="A15:B15"/>
    <mergeCell ref="M15:N15"/>
    <mergeCell ref="A16:B16"/>
    <mergeCell ref="M16:N16"/>
    <mergeCell ref="A17:B17"/>
    <mergeCell ref="M17:N17"/>
    <mergeCell ref="A20:B20"/>
    <mergeCell ref="M20:N20"/>
    <mergeCell ref="A21:B21"/>
    <mergeCell ref="M21:N21"/>
    <mergeCell ref="A22:B22"/>
    <mergeCell ref="M22:N22"/>
    <mergeCell ref="A23:I23"/>
    <mergeCell ref="M23:U23"/>
    <mergeCell ref="A26:I26"/>
    <mergeCell ref="M26:U26"/>
    <mergeCell ref="A27:B27"/>
    <mergeCell ref="M27:N27"/>
    <mergeCell ref="A28:B28"/>
    <mergeCell ref="M28:N28"/>
    <mergeCell ref="A29:B29"/>
    <mergeCell ref="M29:N29"/>
    <mergeCell ref="A30:B30"/>
    <mergeCell ref="M30:N30"/>
    <mergeCell ref="A31:I31"/>
    <mergeCell ref="M31:U31"/>
    <mergeCell ref="A35:B35"/>
    <mergeCell ref="M35:N35"/>
    <mergeCell ref="A32:B32"/>
    <mergeCell ref="M32:N32"/>
    <mergeCell ref="A33:B33"/>
    <mergeCell ref="M33:N33"/>
    <mergeCell ref="A34:B34"/>
    <mergeCell ref="M34:N34"/>
  </mergeCells>
  <phoneticPr fontId="1" type="noConversion"/>
  <conditionalFormatting sqref="C2:I4 C6:I7 C9:I12 C14:I1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4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1 C14:I16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2 C14:I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K4 J5:K17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1:J3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17">
    <cfRule type="colorScale" priority="2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3:K4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1:K3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K35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60"/>
  <sheetViews>
    <sheetView tabSelected="1"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2" width="9" style="10"/>
    <col min="13" max="13" width="25" style="10" customWidth="1"/>
    <col min="14" max="14" width="15" style="10" customWidth="1"/>
    <col min="15" max="16384" width="9" style="10"/>
  </cols>
  <sheetData>
    <row r="1" spans="1:22" ht="15.75" thickBot="1" x14ac:dyDescent="0.25">
      <c r="A1" s="3" t="s">
        <v>0</v>
      </c>
      <c r="B1" s="13" t="s">
        <v>1</v>
      </c>
      <c r="C1" s="17">
        <v>1</v>
      </c>
      <c r="D1" s="17">
        <v>0.75</v>
      </c>
      <c r="E1" s="17">
        <v>0.5</v>
      </c>
      <c r="F1" s="17">
        <v>0.3</v>
      </c>
      <c r="G1" s="17">
        <v>0.2</v>
      </c>
      <c r="H1" s="17">
        <v>0.1</v>
      </c>
      <c r="I1" s="6">
        <v>0.05</v>
      </c>
      <c r="J1" s="18" t="s">
        <v>9</v>
      </c>
      <c r="K1" s="18" t="s">
        <v>9</v>
      </c>
      <c r="L1" s="12"/>
      <c r="M1" s="3" t="s">
        <v>2</v>
      </c>
      <c r="N1" s="13" t="s">
        <v>1</v>
      </c>
      <c r="O1" s="7">
        <v>1</v>
      </c>
      <c r="P1" s="17">
        <v>0.75</v>
      </c>
      <c r="Q1" s="17">
        <v>0.5</v>
      </c>
      <c r="R1" s="17">
        <v>0.3</v>
      </c>
      <c r="S1" s="17">
        <v>0.2</v>
      </c>
      <c r="T1" s="17">
        <v>0.1</v>
      </c>
      <c r="U1" s="6">
        <v>0.05</v>
      </c>
      <c r="V1" s="12"/>
    </row>
    <row r="2" spans="1:22" ht="15.75" thickBot="1" x14ac:dyDescent="0.25">
      <c r="A2" s="111" t="s">
        <v>5</v>
      </c>
      <c r="B2" s="112"/>
      <c r="C2" s="20">
        <v>93.101364775358491</v>
      </c>
      <c r="D2" s="21">
        <v>91.326663725464783</v>
      </c>
      <c r="E2" s="21">
        <v>89.722561037148537</v>
      </c>
      <c r="F2" s="21">
        <v>83.857204647099024</v>
      </c>
      <c r="G2" s="21">
        <v>76.242949045118635</v>
      </c>
      <c r="H2" s="21">
        <v>60.40277741733636</v>
      </c>
      <c r="I2" s="22">
        <v>47.740900296138662</v>
      </c>
      <c r="J2" s="23" cm="1">
        <f t="array" ref="J2">-SUMPRODUCT((D1:H1-C1:G1)*(C2:G2+D2:H2)/2)</f>
        <v>77.879927234087958</v>
      </c>
      <c r="K2" s="23" cm="1">
        <f t="array" ref="K2">-SUMPRODUCT((D1:I1-C1:H1)*(C2:H2+D2:I2)/2)</f>
        <v>80.583519176924838</v>
      </c>
      <c r="L2" s="12" t="str">
        <f>"    "&amp;_xlfn.TEXTJOIN(", ",TRUE,C2:I2)&amp;","</f>
        <v xml:space="preserve">    93.1013647753585, 91.3266637254648, 89.7225610371485, 83.857204647099, 76.2429490451186, 60.4027774173364, 47.7409002961387,</v>
      </c>
      <c r="M2" s="111" t="s">
        <v>5</v>
      </c>
      <c r="N2" s="112"/>
      <c r="O2" s="31">
        <v>3.4649270444699574</v>
      </c>
      <c r="P2" s="32">
        <v>4.4611797621615326</v>
      </c>
      <c r="Q2" s="32">
        <v>4.7712065248821434</v>
      </c>
      <c r="R2" s="32">
        <v>5.3965689103010375</v>
      </c>
      <c r="S2" s="32">
        <v>7.9323757260741923</v>
      </c>
      <c r="T2" s="32">
        <v>9.9900413492801565</v>
      </c>
      <c r="U2" s="33">
        <v>9.7565309936118432</v>
      </c>
      <c r="V2" s="12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111" t="s">
        <v>6</v>
      </c>
      <c r="B3" s="112"/>
      <c r="C3" s="31">
        <v>93.273358766079312</v>
      </c>
      <c r="D3" s="32">
        <v>91.615587793435367</v>
      </c>
      <c r="E3" s="32">
        <v>90.62053304959386</v>
      </c>
      <c r="F3" s="32">
        <v>86.59751381932368</v>
      </c>
      <c r="G3" s="32">
        <v>78.22435026831262</v>
      </c>
      <c r="H3" s="32">
        <v>60.854992978601317</v>
      </c>
      <c r="I3" s="33">
        <v>48.743933771053378</v>
      </c>
      <c r="J3" s="35" cm="1">
        <f t="array" ref="J3">-SUMPRODUCT((D1:H1-C1:G1)*(C3:G3+D3:H3)/2)</f>
        <v>78.807498478937248</v>
      </c>
      <c r="K3" s="35" cm="1">
        <f t="array" ref="K3">-SUMPRODUCT((D1:I1-C1:H1)*(C3:H3+D3:I3)/2)</f>
        <v>81.54747164767862</v>
      </c>
      <c r="L3" s="12" t="str">
        <f t="shared" ref="L3:L18" si="0">"    "&amp;_xlfn.TEXTJOIN(", ",TRUE,C3:I3)&amp;","</f>
        <v xml:space="preserve">    93.2733587660793, 91.6155877934354, 90.6205330495939, 86.5975138193237, 78.2243502683126, 60.8549929786013, 48.7439337710534,</v>
      </c>
      <c r="M3" s="111" t="s">
        <v>6</v>
      </c>
      <c r="N3" s="112"/>
      <c r="O3" s="31">
        <v>3.4672469457762647</v>
      </c>
      <c r="P3" s="32">
        <v>4.1066373858138912</v>
      </c>
      <c r="Q3" s="32">
        <v>4.4433442831389707</v>
      </c>
      <c r="R3" s="32">
        <v>4.8572661690244194</v>
      </c>
      <c r="S3" s="32">
        <v>6.7334065011993722</v>
      </c>
      <c r="T3" s="32">
        <v>9.3055912140758643</v>
      </c>
      <c r="U3" s="33">
        <v>9.1853207799272329</v>
      </c>
      <c r="V3" s="12" t="str">
        <f t="shared" ref="V3:V18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111" t="s">
        <v>10</v>
      </c>
      <c r="B4" s="112"/>
      <c r="C4" s="24">
        <v>87.593900000000005</v>
      </c>
      <c r="D4" s="26">
        <v>87.663716814159287</v>
      </c>
      <c r="E4" s="26">
        <v>88.112094395280209</v>
      </c>
      <c r="F4" s="26">
        <v>87.970025692263789</v>
      </c>
      <c r="G4" s="26">
        <v>87.461708146264243</v>
      </c>
      <c r="H4" s="26">
        <v>75.251363189416281</v>
      </c>
      <c r="I4" s="27">
        <v>47.720683858280204</v>
      </c>
      <c r="J4" s="35" cm="1">
        <f t="array" ref="J4">-SUMPRODUCT((D1:H1-C1:G1)*(C4:G4+D4:H4)/2)</f>
        <v>78.394630770414679</v>
      </c>
      <c r="K4" s="35" cm="1">
        <f t="array" ref="K4">-SUMPRODUCT((D1:I1-C1:H1)*(C4:H4+D4:I4)/2)</f>
        <v>81.468931946607086</v>
      </c>
      <c r="L4" s="12" t="str">
        <f t="shared" si="0"/>
        <v xml:space="preserve">    87.5939, 87.6637168141593, 88.1120943952802, 87.9700256922638, 87.4617081462642, 75.2513631894163, 47.7206838582802,</v>
      </c>
      <c r="M4" s="111" t="s">
        <v>10</v>
      </c>
      <c r="N4" s="112"/>
      <c r="O4" s="49">
        <v>2.4529187882918819</v>
      </c>
      <c r="P4" s="26">
        <v>2.16276566139488</v>
      </c>
      <c r="Q4" s="26">
        <v>2.2973398804747198</v>
      </c>
      <c r="R4" s="26">
        <v>2.134165319654592</v>
      </c>
      <c r="S4" s="26">
        <v>2.3834878752826651</v>
      </c>
      <c r="T4" s="26">
        <v>3.787986046410059</v>
      </c>
      <c r="U4" s="27">
        <v>3.7419646549723868</v>
      </c>
      <c r="V4" s="12" t="str">
        <f t="shared" si="1"/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111" t="s">
        <v>12</v>
      </c>
      <c r="B5" s="113"/>
      <c r="C5" s="113"/>
      <c r="D5" s="113"/>
      <c r="E5" s="113"/>
      <c r="F5" s="113"/>
      <c r="G5" s="113"/>
      <c r="H5" s="113"/>
      <c r="I5" s="112"/>
      <c r="J5" s="35"/>
      <c r="K5" s="35"/>
      <c r="L5" s="12"/>
      <c r="M5" s="111" t="s">
        <v>12</v>
      </c>
      <c r="N5" s="113"/>
      <c r="O5" s="113"/>
      <c r="P5" s="113"/>
      <c r="Q5" s="113"/>
      <c r="R5" s="113"/>
      <c r="S5" s="113"/>
      <c r="T5" s="113"/>
      <c r="U5" s="112"/>
      <c r="V5" s="12"/>
    </row>
    <row r="6" spans="1:22" ht="15.75" customHeight="1" thickBot="1" x14ac:dyDescent="0.25">
      <c r="A6" s="102" t="s">
        <v>11</v>
      </c>
      <c r="B6" s="8" t="s">
        <v>13</v>
      </c>
      <c r="C6" s="57">
        <v>93.40216322517206</v>
      </c>
      <c r="D6" s="58">
        <v>91.827126532236434</v>
      </c>
      <c r="E6" s="58">
        <v>90.558689954065343</v>
      </c>
      <c r="F6" s="58">
        <v>86.023376788149832</v>
      </c>
      <c r="G6" s="58">
        <v>80.076301121405308</v>
      </c>
      <c r="H6" s="58">
        <v>61.71287813908426</v>
      </c>
      <c r="I6" s="59">
        <v>46.423510007295327</v>
      </c>
      <c r="J6" s="35" cm="1">
        <f t="array" ref="J6">-SUMPRODUCT((D1:H1-C1:G1)*(C6:G6+D6:H6)/2)</f>
        <v>79.00453781318754</v>
      </c>
      <c r="K6" s="35" cm="1">
        <f t="array" ref="K6">-SUMPRODUCT((D1:I1-C1:H1)*(C6:H6+D6:I6)/2)</f>
        <v>81.707947516847028</v>
      </c>
      <c r="L6" s="12" t="str">
        <f t="shared" si="0"/>
        <v xml:space="preserve">    93.4021632251721, 91.8271265322364, 90.5586899540653, 86.0233767881498, 80.0763011214053, 61.7128781390843, 46.4235100072953,</v>
      </c>
      <c r="M6" s="102" t="s">
        <v>11</v>
      </c>
      <c r="N6" s="8" t="s">
        <v>13</v>
      </c>
      <c r="O6" s="57">
        <v>3.395734543818977</v>
      </c>
      <c r="P6" s="58">
        <v>4.0701241715569392</v>
      </c>
      <c r="Q6" s="58">
        <v>4.2545139093922257</v>
      </c>
      <c r="R6" s="58">
        <v>5.0550386107492153</v>
      </c>
      <c r="S6" s="58">
        <v>5.5998181447012403</v>
      </c>
      <c r="T6" s="58">
        <v>8.7815136499154747</v>
      </c>
      <c r="U6" s="59">
        <v>8.6649338950065129</v>
      </c>
      <c r="V6" s="12" t="str">
        <f t="shared" si="1"/>
        <v xml:space="preserve">    3.39573454381898, 4.07012417155694, 4.25451390939223, 5.05503861074922, 5.59981814470124, 8.78151364991547, 8.66493389500651,</v>
      </c>
    </row>
    <row r="7" spans="1:22" ht="15.75" customHeight="1" thickBot="1" x14ac:dyDescent="0.25">
      <c r="A7" s="103"/>
      <c r="B7" s="8" t="s">
        <v>14</v>
      </c>
      <c r="C7" s="57">
        <v>92.691248770894788</v>
      </c>
      <c r="D7" s="58">
        <v>92.706981317600793</v>
      </c>
      <c r="E7" s="58">
        <v>91.734513274336265</v>
      </c>
      <c r="F7" s="58">
        <v>88.867553640890762</v>
      </c>
      <c r="G7" s="58">
        <v>87.5647050003316</v>
      </c>
      <c r="H7" s="58">
        <v>75.623785672886441</v>
      </c>
      <c r="I7" s="59">
        <v>48.831339371447839</v>
      </c>
      <c r="J7" s="35" cm="1">
        <f t="array" ref="J7">-SUMPRODUCT((D1:H1-C1:G1)*(C7:G7+D7:H7)/2)</f>
        <v>81.271209742298794</v>
      </c>
      <c r="K7" s="35" cm="1">
        <f t="array" ref="K7">-SUMPRODUCT((D1:I1-C1:H1)*(C7:H7+D7:I7)/2)</f>
        <v>84.382587868407157</v>
      </c>
      <c r="L7" s="12" t="str">
        <f t="shared" si="0"/>
        <v xml:space="preserve">    92.6912487708948, 92.7069813176008, 91.7345132743363, 88.8675536408908, 87.5647050003316, 75.6237856728864, 48.8313393714478,</v>
      </c>
      <c r="M7" s="103"/>
      <c r="N7" s="8" t="s">
        <v>14</v>
      </c>
      <c r="O7" s="57">
        <v>3.1492092951527728</v>
      </c>
      <c r="P7" s="58">
        <v>3.3182076336991431</v>
      </c>
      <c r="Q7" s="58">
        <v>3.198166186176159</v>
      </c>
      <c r="R7" s="58">
        <v>3.1321269598885868</v>
      </c>
      <c r="S7" s="58">
        <v>3.0750631997727318</v>
      </c>
      <c r="T7" s="58">
        <v>5.166114204995413</v>
      </c>
      <c r="U7" s="59">
        <v>5.9316401890770027</v>
      </c>
      <c r="V7" s="12" t="str">
        <f t="shared" si="1"/>
        <v xml:space="preserve">    3.14920929515277, 3.31820763369914, 3.19816618617616, 3.13212695988859, 3.07506319977273, 5.16611420499541, 5.931640189077,</v>
      </c>
    </row>
    <row r="8" spans="1:22" ht="15.75" customHeight="1" thickBot="1" x14ac:dyDescent="0.25">
      <c r="A8" s="103"/>
      <c r="B8" s="8" t="s">
        <v>17</v>
      </c>
      <c r="C8" s="57">
        <v>93.359910841212596</v>
      </c>
      <c r="D8" s="58">
        <v>93.004951023221068</v>
      </c>
      <c r="E8" s="58">
        <v>91.679628139805132</v>
      </c>
      <c r="F8" s="58">
        <v>85.408749210633317</v>
      </c>
      <c r="G8" s="58">
        <v>76.226619607436049</v>
      </c>
      <c r="H8" s="58">
        <v>61.249065014979941</v>
      </c>
      <c r="I8" s="59">
        <v>49.631651946239451</v>
      </c>
      <c r="J8" s="35" cm="1">
        <f t="array" ref="J8">-SUMPRODUCT((D1:H1-C1:G1)*(C8:G8+D8:H8)/2)</f>
        <v>79.045570535500588</v>
      </c>
      <c r="K8" s="35" cm="1">
        <f t="array" ref="K8">-SUMPRODUCT((D1:I1-C1:H1)*(C8:H8+D8:I8)/2)</f>
        <v>81.817588459531066</v>
      </c>
      <c r="L8" s="12" t="str">
        <f t="shared" si="0"/>
        <v xml:space="preserve">    93.3599108412126, 93.0049510232211, 91.6796281398051, 85.4087492106333, 76.226619607436, 61.2490650149799, 49.6316519462395,</v>
      </c>
      <c r="M8" s="103"/>
      <c r="N8" s="8" t="s">
        <v>17</v>
      </c>
      <c r="O8" s="57">
        <v>3.6969489802746338</v>
      </c>
      <c r="P8" s="58">
        <v>3.7743162236554419</v>
      </c>
      <c r="Q8" s="58">
        <v>4.0183161455895977</v>
      </c>
      <c r="R8" s="58">
        <v>5.5239472036366646</v>
      </c>
      <c r="S8" s="58">
        <v>8.887831326254588</v>
      </c>
      <c r="T8" s="58">
        <v>10.788676865113089</v>
      </c>
      <c r="U8" s="59">
        <v>8.9042998213690989</v>
      </c>
      <c r="V8" s="12"/>
    </row>
    <row r="9" spans="1:22" ht="15.75" customHeight="1" thickBot="1" x14ac:dyDescent="0.25">
      <c r="A9" s="103"/>
      <c r="B9" s="8" t="s">
        <v>18</v>
      </c>
      <c r="C9" s="57">
        <v>93.402168992234664</v>
      </c>
      <c r="D9" s="58">
        <v>93.248776661851196</v>
      </c>
      <c r="E9" s="58">
        <v>92.691271839145102</v>
      </c>
      <c r="F9" s="58">
        <v>88.452475079080841</v>
      </c>
      <c r="G9" s="58">
        <v>80.836250025230896</v>
      </c>
      <c r="H9" s="58">
        <v>58.587493548098742</v>
      </c>
      <c r="I9" s="59">
        <v>46.761612701378603</v>
      </c>
      <c r="J9" s="35" cm="1">
        <f t="array" ref="J9">-SUMPRODUCT((D1:H1-C1:G1)*(C9:G9+D9:H9)/2)</f>
        <v>80.123872395089933</v>
      </c>
      <c r="K9" s="35" cm="1">
        <f t="array" ref="K9">-SUMPRODUCT((D1:I1-C1:H1)*(C9:H9+D9:I9)/2)</f>
        <v>82.757600051326861</v>
      </c>
      <c r="L9" s="12" t="str">
        <f t="shared" si="0"/>
        <v xml:space="preserve">    93.4021689922347, 93.2487766618512, 92.6912718391451, 88.4524750790808, 80.8362500252309, 58.5874935480987, 46.7616127013786,</v>
      </c>
      <c r="M9" s="103"/>
      <c r="N9" s="8" t="s">
        <v>18</v>
      </c>
      <c r="O9" s="57">
        <v>3.54951767012634</v>
      </c>
      <c r="P9" s="58">
        <v>3.9476305437492138</v>
      </c>
      <c r="Q9" s="58">
        <v>3.9153520636466741</v>
      </c>
      <c r="R9" s="58">
        <v>4.7440261437688536</v>
      </c>
      <c r="S9" s="58">
        <v>6.9981331013815007</v>
      </c>
      <c r="T9" s="58">
        <v>10.73836101002882</v>
      </c>
      <c r="U9" s="59">
        <v>8.4598560379029468</v>
      </c>
      <c r="V9" s="12"/>
    </row>
    <row r="10" spans="1:22" ht="15.75" customHeight="1" thickBot="1" x14ac:dyDescent="0.25">
      <c r="A10" s="103"/>
      <c r="B10" s="8" t="s">
        <v>15</v>
      </c>
      <c r="C10" s="57">
        <v>93.347099311701101</v>
      </c>
      <c r="D10" s="58">
        <v>92.429741318408162</v>
      </c>
      <c r="E10" s="58">
        <v>91.177980201674188</v>
      </c>
      <c r="F10" s="58">
        <v>88.609442988261151</v>
      </c>
      <c r="G10" s="58">
        <v>83.887882536469476</v>
      </c>
      <c r="H10" s="58">
        <v>65.46502997430774</v>
      </c>
      <c r="I10" s="59">
        <v>53.025920062745648</v>
      </c>
      <c r="J10" s="35" cm="1">
        <f t="array" ref="J10">-SUMPRODUCT((D1:H1-C1:G1)*(C10:G10+D10:H10)/2)</f>
        <v>80.24432448954289</v>
      </c>
      <c r="K10" s="35" cm="1">
        <f t="array" ref="K10">-SUMPRODUCT((D1:I1-C1:H1)*(C10:H10+D10:I10)/2)</f>
        <v>83.206598240469219</v>
      </c>
      <c r="L10" s="12" t="str">
        <f t="shared" si="0"/>
        <v xml:space="preserve">    93.3470993117011, 92.4297413184082, 91.1779802016742, 88.6094429882612, 83.8878825364695, 65.4650299743077, 53.0259200627456,</v>
      </c>
      <c r="M10" s="103"/>
      <c r="N10" s="8" t="s">
        <v>15</v>
      </c>
      <c r="O10" s="57">
        <v>3.530639787063353</v>
      </c>
      <c r="P10" s="58">
        <v>3.7877954805458178</v>
      </c>
      <c r="Q10" s="58">
        <v>3.5724123756053681</v>
      </c>
      <c r="R10" s="58">
        <v>3.9540852979376608</v>
      </c>
      <c r="S10" s="58">
        <v>4.7311149340952454</v>
      </c>
      <c r="T10" s="58">
        <v>6.8843348259745856</v>
      </c>
      <c r="U10" s="59">
        <v>6.3274200723455936</v>
      </c>
      <c r="V10" s="12"/>
    </row>
    <row r="11" spans="1:22" ht="15.75" customHeight="1" thickBot="1" x14ac:dyDescent="0.25">
      <c r="A11" s="103"/>
      <c r="B11" s="8" t="s">
        <v>25</v>
      </c>
      <c r="C11" s="68">
        <v>90.975423662834444</v>
      </c>
      <c r="D11" s="69">
        <v>90.202556538839715</v>
      </c>
      <c r="E11" s="69">
        <v>90.170108161258611</v>
      </c>
      <c r="F11" s="69">
        <v>88.70908052837828</v>
      </c>
      <c r="G11" s="69">
        <v>86.950939598670132</v>
      </c>
      <c r="H11" s="69">
        <v>75.792829811099864</v>
      </c>
      <c r="I11" s="70">
        <v>48.150537634408593</v>
      </c>
      <c r="J11" s="35" cm="1">
        <f t="array" ref="J11">-SUMPRODUCT((D1:H1-C1:G1)*(C11:G11+D11:H11)/2)</f>
        <v>80.001938958526168</v>
      </c>
      <c r="K11" s="35" cm="1">
        <f t="array" ref="K11">-SUMPRODUCT((D1:I1-C1:H1)*(C11:H11+D11:I11)/2)</f>
        <v>83.100523144663882</v>
      </c>
      <c r="L11" s="12" t="str">
        <f t="shared" si="0"/>
        <v xml:space="preserve">    90.9754236628344, 90.2025565388397, 90.1701081612586, 88.7090805283783, 86.9509395986701, 75.7928298110999, 48.1505376344086,</v>
      </c>
      <c r="M11" s="103"/>
      <c r="N11" s="8" t="s">
        <v>25</v>
      </c>
      <c r="O11" s="68">
        <v>3.3313581707075852</v>
      </c>
      <c r="P11" s="69">
        <v>2.8735231153997312</v>
      </c>
      <c r="Q11" s="69">
        <v>2.9020080993283321</v>
      </c>
      <c r="R11" s="69">
        <v>2.6230573417030318</v>
      </c>
      <c r="S11" s="69">
        <v>3.0561479691174078</v>
      </c>
      <c r="T11" s="69">
        <v>3.639426101786353</v>
      </c>
      <c r="U11" s="70">
        <v>2.9250848924264208</v>
      </c>
      <c r="V11" s="12"/>
    </row>
    <row r="12" spans="1:22" ht="15.75" customHeight="1" thickBot="1" x14ac:dyDescent="0.25">
      <c r="A12" s="103"/>
      <c r="B12" s="8" t="s">
        <v>19</v>
      </c>
      <c r="C12" s="57">
        <v>90.295968534906564</v>
      </c>
      <c r="D12" s="58">
        <v>90.405113077679459</v>
      </c>
      <c r="E12" s="58">
        <v>90.529243332554771</v>
      </c>
      <c r="F12" s="58">
        <v>90.464208167890718</v>
      </c>
      <c r="G12" s="58">
        <v>89.370346340942973</v>
      </c>
      <c r="H12" s="58">
        <v>80.495811670804514</v>
      </c>
      <c r="I12" s="59">
        <v>54.200509231625418</v>
      </c>
      <c r="J12" s="35" cm="1">
        <f t="array" ref="J12">-SUMPRODUCT((D1:H1-C1:G1)*(C12:G12+D12:H12)/2)</f>
        <v>80.788810528926135</v>
      </c>
      <c r="K12" s="35" cm="1">
        <f t="array" ref="K12">-SUMPRODUCT((D1:I1-C1:H1)*(C12:H12+D12:I12)/2)</f>
        <v>84.156218551486887</v>
      </c>
      <c r="L12" s="12" t="str">
        <f t="shared" si="0"/>
        <v xml:space="preserve">    90.2959685349066, 90.4051130776795, 90.5292433325548, 90.4642081678907, 89.370346340943, 80.4958116708045, 54.2005092316254,</v>
      </c>
      <c r="M12" s="103"/>
      <c r="N12" s="8" t="s">
        <v>19</v>
      </c>
      <c r="O12" s="57">
        <v>2.645635465917767</v>
      </c>
      <c r="P12" s="58">
        <v>2.349990742414489</v>
      </c>
      <c r="Q12" s="58">
        <v>2.284121152514234</v>
      </c>
      <c r="R12" s="58">
        <v>2.4722451039664972</v>
      </c>
      <c r="S12" s="58">
        <v>2.569604191233966</v>
      </c>
      <c r="T12" s="58">
        <v>3.931910154117956</v>
      </c>
      <c r="U12" s="59">
        <v>6.3131910290344502</v>
      </c>
      <c r="V12" s="12"/>
    </row>
    <row r="13" spans="1:22" ht="15.75" customHeight="1" thickBot="1" x14ac:dyDescent="0.25">
      <c r="A13" s="103"/>
      <c r="B13" s="8" t="s">
        <v>16</v>
      </c>
      <c r="C13" s="57">
        <v>87.757128810226178</v>
      </c>
      <c r="D13" s="58">
        <v>87.214361715931787</v>
      </c>
      <c r="E13" s="58">
        <v>87.421857743867449</v>
      </c>
      <c r="F13" s="58">
        <v>87.622418879056042</v>
      </c>
      <c r="G13" s="58">
        <v>86.807385877040446</v>
      </c>
      <c r="H13" s="58">
        <v>75.901045856798063</v>
      </c>
      <c r="I13" s="59">
        <v>48.250428925279053</v>
      </c>
      <c r="J13" s="35" cm="1">
        <f t="array" ref="J13">-SUMPRODUCT((D1:H1-C1:G1)*(C13:G13+D13:H13)/2)</f>
        <v>78.062303235033738</v>
      </c>
      <c r="K13" s="35" cm="1">
        <f t="array" ref="K13">-SUMPRODUCT((D1:I1-C1:H1)*(C13:H13+D13:I13)/2)</f>
        <v>81.166090104585663</v>
      </c>
      <c r="L13" s="12" t="str">
        <f t="shared" si="0"/>
        <v xml:space="preserve">    87.7571288102262, 87.2143617159318, 87.4218577438674, 87.622418879056, 86.8073858770404, 75.9010458567981, 48.2504289252791,</v>
      </c>
      <c r="M13" s="103"/>
      <c r="N13" s="8" t="s">
        <v>16</v>
      </c>
      <c r="O13" s="57">
        <v>2.4219047595763121</v>
      </c>
      <c r="P13" s="58">
        <v>2.3217688638534999</v>
      </c>
      <c r="Q13" s="58">
        <v>1.9206629777265249</v>
      </c>
      <c r="R13" s="58">
        <v>2.0167242206543352</v>
      </c>
      <c r="S13" s="58">
        <v>1.6755361920192899</v>
      </c>
      <c r="T13" s="58">
        <v>3.611109605289736</v>
      </c>
      <c r="U13" s="59">
        <v>3.8722711387036122</v>
      </c>
      <c r="V13" s="12"/>
    </row>
    <row r="14" spans="1:22" ht="15.75" customHeight="1" thickBot="1" x14ac:dyDescent="0.25">
      <c r="A14" s="104"/>
      <c r="B14" s="8" t="s">
        <v>26</v>
      </c>
      <c r="C14" s="68">
        <v>87.38938053097344</v>
      </c>
      <c r="D14" s="69">
        <v>87.136676499508383</v>
      </c>
      <c r="E14" s="69">
        <v>87.169124877089473</v>
      </c>
      <c r="F14" s="69">
        <v>87.617502458210453</v>
      </c>
      <c r="G14" s="69">
        <v>86.525073746312685</v>
      </c>
      <c r="H14" s="69">
        <v>73.91603156890055</v>
      </c>
      <c r="I14" s="70">
        <v>47.131944624665152</v>
      </c>
      <c r="J14" s="35" cm="1">
        <f t="array" ref="J14">-SUMPRODUCT((D1:H1-C1:G1)*(C14:G14+D14:H14)/2)</f>
        <v>77.81182911040176</v>
      </c>
      <c r="K14" s="35" cm="1">
        <f t="array" ref="K14">-SUMPRODUCT((D1:I1-C1:H1)*(C14:H14+D14:I14)/2)</f>
        <v>80.838028515240907</v>
      </c>
      <c r="L14" s="12" t="str">
        <f t="shared" si="0"/>
        <v xml:space="preserve">    87.3893805309734, 87.1366764995084, 87.1691248770895, 87.6175024582105, 86.5250737463127, 73.9160315689006, 47.1319446246652,</v>
      </c>
      <c r="M14" s="104"/>
      <c r="N14" s="8" t="s">
        <v>26</v>
      </c>
      <c r="O14" s="12">
        <v>2.3114467772059939</v>
      </c>
      <c r="P14" s="12">
        <v>1.808974585726052</v>
      </c>
      <c r="Q14" s="12">
        <v>1.926285810675562</v>
      </c>
      <c r="R14" s="12">
        <v>1.875569382848</v>
      </c>
      <c r="S14" s="12">
        <v>1.6559404586511339</v>
      </c>
      <c r="T14" s="12">
        <v>2.9852787187065402</v>
      </c>
      <c r="U14" s="12">
        <v>2.1122202966826809</v>
      </c>
      <c r="V14" s="12"/>
    </row>
    <row r="15" spans="1:22" ht="15.75" thickBot="1" x14ac:dyDescent="0.25">
      <c r="A15" s="111" t="s">
        <v>20</v>
      </c>
      <c r="B15" s="113"/>
      <c r="C15" s="114"/>
      <c r="D15" s="114"/>
      <c r="E15" s="114"/>
      <c r="F15" s="114"/>
      <c r="G15" s="114"/>
      <c r="H15" s="114"/>
      <c r="I15" s="115"/>
      <c r="J15" s="35"/>
      <c r="K15" s="35"/>
      <c r="L15" s="12"/>
      <c r="M15" s="111" t="s">
        <v>20</v>
      </c>
      <c r="N15" s="113"/>
      <c r="O15" s="116"/>
      <c r="P15" s="116"/>
      <c r="Q15" s="116"/>
      <c r="R15" s="116"/>
      <c r="S15" s="116"/>
      <c r="T15" s="116"/>
      <c r="U15" s="110"/>
      <c r="V15" s="12"/>
    </row>
    <row r="16" spans="1:22" ht="15.75" customHeight="1" thickBot="1" x14ac:dyDescent="0.25">
      <c r="A16" s="111" t="s">
        <v>7</v>
      </c>
      <c r="B16" s="112"/>
      <c r="C16" s="52">
        <v>93.782740335124032</v>
      </c>
      <c r="D16" s="53">
        <v>91.948208894540599</v>
      </c>
      <c r="E16" s="53">
        <v>90.212980504444957</v>
      </c>
      <c r="F16" s="53">
        <v>84.630388959535409</v>
      </c>
      <c r="G16" s="53">
        <v>75.371093175546491</v>
      </c>
      <c r="H16" s="53">
        <v>59.627211308056303</v>
      </c>
      <c r="I16" s="54">
        <v>47.844185503334799</v>
      </c>
      <c r="J16" s="35" cm="1">
        <f t="array" ref="J16">-SUMPRODUCT((D1:H1-C1:G1)*(C16:G16+D16:H16)/2)</f>
        <v>78.220843605913544</v>
      </c>
      <c r="K16" s="35" cm="1">
        <f t="array" ref="K16">-SUMPRODUCT((D1:I1-C1:H1)*(C16:H16+D16:I16)/2)</f>
        <v>80.907628526198323</v>
      </c>
      <c r="L16" s="12" t="str">
        <f t="shared" si="0"/>
        <v xml:space="preserve">    93.782740335124, 91.9482088945406, 90.212980504445, 84.6303889595354, 75.3710931755465, 59.6272113080563, 47.8441855033348,</v>
      </c>
      <c r="M16" s="111" t="s">
        <v>7</v>
      </c>
      <c r="N16" s="112"/>
      <c r="O16" s="52">
        <v>3.5391983918820551</v>
      </c>
      <c r="P16" s="53">
        <v>4.1060038651541966</v>
      </c>
      <c r="Q16" s="53">
        <v>4.774795806468676</v>
      </c>
      <c r="R16" s="53">
        <v>5.3483339064680431</v>
      </c>
      <c r="S16" s="53">
        <v>8.0994903921197494</v>
      </c>
      <c r="T16" s="53">
        <v>10.59987402205407</v>
      </c>
      <c r="U16" s="54">
        <v>8.7604668874903737</v>
      </c>
      <c r="V16" s="12" t="str">
        <f t="shared" si="1"/>
        <v xml:space="preserve">    3.53919839188206, 4.1060038651542, 4.77479580646868, 5.34833390646804, 8.09949039211975, 10.5998740220541, 8.76046688749037,</v>
      </c>
    </row>
    <row r="17" spans="1:22" ht="15.75" customHeight="1" thickBot="1" x14ac:dyDescent="0.25">
      <c r="A17" s="102" t="s">
        <v>8</v>
      </c>
      <c r="B17" s="110"/>
      <c r="C17" s="55">
        <v>93.226230330712227</v>
      </c>
      <c r="D17" s="12">
        <v>91.83329152212967</v>
      </c>
      <c r="E17" s="12">
        <v>90.325291164571794</v>
      </c>
      <c r="F17" s="12">
        <v>85.383492360083878</v>
      </c>
      <c r="G17" s="12">
        <v>76.567000291236639</v>
      </c>
      <c r="H17" s="12">
        <v>59.41454222499042</v>
      </c>
      <c r="I17" s="56">
        <v>50.563407411252108</v>
      </c>
      <c r="J17" s="35" cm="1">
        <f t="array" ref="J17">-SUMPRODUCT((D1:H1-C1:G1)*(C17:G17+D17:H17)/2)</f>
        <v>78.369743178285859</v>
      </c>
      <c r="K17" s="35" cm="1">
        <f t="array" ref="K17">-SUMPRODUCT((D1:I1-C1:H1)*(C17:H17+D17:I17)/2)</f>
        <v>81.11919191919192</v>
      </c>
      <c r="L17" s="12" t="str">
        <f t="shared" si="0"/>
        <v xml:space="preserve">    93.2262303307122, 91.8332915221297, 90.3252911645718, 85.3834923600839, 76.5670002912366, 59.4145422249904, 50.5634074112521,</v>
      </c>
      <c r="M17" s="111" t="s">
        <v>8</v>
      </c>
      <c r="N17" s="112"/>
      <c r="O17" s="55">
        <v>3.945711842949601</v>
      </c>
      <c r="P17" s="12">
        <v>4.8525950161134093</v>
      </c>
      <c r="Q17" s="12">
        <v>4.4346894499148144</v>
      </c>
      <c r="R17" s="12">
        <v>5.4810029574676529</v>
      </c>
      <c r="S17" s="12">
        <v>8.4636725644600066</v>
      </c>
      <c r="T17" s="12">
        <v>10.788297692871961</v>
      </c>
      <c r="U17" s="56">
        <v>8.7433484877826491</v>
      </c>
      <c r="V17" s="12" t="str">
        <f t="shared" si="1"/>
        <v xml:space="preserve">    3.9457118429496, 4.85259501611341, 4.43468944991481, 5.48100295746765, 8.46367256446001, 10.788297692872, 8.74334848778265,</v>
      </c>
    </row>
    <row r="18" spans="1:22" ht="15.75" customHeight="1" thickBot="1" x14ac:dyDescent="0.25">
      <c r="A18" s="111" t="s">
        <v>21</v>
      </c>
      <c r="B18" s="112"/>
      <c r="C18" s="55">
        <v>93.004922187908207</v>
      </c>
      <c r="D18" s="12">
        <v>91.518502178507859</v>
      </c>
      <c r="E18" s="12">
        <v>89.729420958082102</v>
      </c>
      <c r="F18" s="12">
        <v>83.348607398564567</v>
      </c>
      <c r="G18" s="12">
        <v>74.087719905304837</v>
      </c>
      <c r="H18" s="12">
        <v>57.917332041511322</v>
      </c>
      <c r="I18" s="56">
        <v>48.007794185070807</v>
      </c>
      <c r="J18" s="35" cm="1">
        <f t="array" ref="J18">-SUMPRODUCT((D1:H1-C1:G1)*(C18:G18+D18:H18)/2)</f>
        <v>77.501290236074709</v>
      </c>
      <c r="K18" s="35" cm="1">
        <f t="array" ref="K18">-SUMPRODUCT((D1:I1-C1:H1)*(C18:H18+D18:I18)/2)</f>
        <v>80.14941839173926</v>
      </c>
      <c r="L18" s="12" t="str">
        <f t="shared" si="0"/>
        <v xml:space="preserve">    93.0049221879082, 91.5185021785079, 89.7294209580821, 83.3486073985646, 74.0877199053048, 57.9173320415113, 48.0077941850708,</v>
      </c>
      <c r="M18" s="111" t="s">
        <v>21</v>
      </c>
      <c r="N18" s="112"/>
      <c r="O18" s="55">
        <v>3.690401528555848</v>
      </c>
      <c r="P18" s="12">
        <v>4.2469367469027457</v>
      </c>
      <c r="Q18" s="12">
        <v>4.4611096369834957</v>
      </c>
      <c r="R18" s="12">
        <v>5.4089286426803449</v>
      </c>
      <c r="S18" s="12">
        <v>9.092124974067179</v>
      </c>
      <c r="T18" s="12">
        <v>10.83557708581068</v>
      </c>
      <c r="U18" s="56">
        <v>9.2904800440053528</v>
      </c>
      <c r="V18" s="12" t="str">
        <f t="shared" si="1"/>
        <v xml:space="preserve">    3.69040152855585, 4.24693674690275, 4.4611096369835, 5.40892864268034, 9.09212497406718, 10.8355770858107, 9.29048004400535,</v>
      </c>
    </row>
    <row r="19" spans="1:22" ht="15.75" customHeight="1" thickBot="1" x14ac:dyDescent="0.25">
      <c r="A19" s="111" t="s">
        <v>22</v>
      </c>
      <c r="B19" s="112"/>
      <c r="C19" s="57"/>
      <c r="D19" s="58"/>
      <c r="E19" s="58"/>
      <c r="F19" s="58"/>
      <c r="G19" s="58"/>
      <c r="H19" s="58"/>
      <c r="I19" s="59"/>
      <c r="J19" s="35" cm="1">
        <f t="array" ref="J19">-SUMPRODUCT((D1:H1-C1:G1)*(C19:G19+D19:H19)/2)</f>
        <v>0</v>
      </c>
      <c r="K19" s="35" cm="1">
        <f t="array" ref="K19">-SUMPRODUCT((D1:I1-C1:H1)*(C19:H19+D19:I19)/2)</f>
        <v>0</v>
      </c>
      <c r="L19" s="12"/>
      <c r="M19" s="111" t="s">
        <v>22</v>
      </c>
      <c r="N19" s="112"/>
      <c r="O19" s="57"/>
      <c r="P19" s="58"/>
      <c r="Q19" s="58"/>
      <c r="R19" s="58"/>
      <c r="S19" s="58"/>
      <c r="T19" s="58"/>
      <c r="U19" s="59"/>
      <c r="V19" s="12"/>
    </row>
    <row r="20" spans="1:22" ht="15.75" customHeight="1" thickBot="1" x14ac:dyDescent="0.25">
      <c r="A20" s="111" t="s">
        <v>23</v>
      </c>
      <c r="B20" s="113"/>
      <c r="C20" s="114"/>
      <c r="D20" s="114"/>
      <c r="E20" s="114"/>
      <c r="F20" s="114"/>
      <c r="G20" s="114"/>
      <c r="H20" s="114"/>
      <c r="I20" s="115"/>
      <c r="J20" s="35"/>
      <c r="K20" s="35"/>
      <c r="L20" s="12"/>
      <c r="M20" s="111" t="s">
        <v>23</v>
      </c>
      <c r="N20" s="113"/>
      <c r="O20" s="114"/>
      <c r="P20" s="114"/>
      <c r="Q20" s="114"/>
      <c r="R20" s="114"/>
      <c r="S20" s="114"/>
      <c r="T20" s="114"/>
      <c r="U20" s="115"/>
      <c r="V20" s="12"/>
    </row>
    <row r="21" spans="1:22" ht="15.75" customHeight="1" thickBot="1" x14ac:dyDescent="0.25">
      <c r="A21" s="111" t="s">
        <v>7</v>
      </c>
      <c r="B21" s="112"/>
      <c r="C21" s="52">
        <v>92.969518190757128</v>
      </c>
      <c r="D21" s="53">
        <v>91.851524090462149</v>
      </c>
      <c r="E21" s="53">
        <v>90.756145526057011</v>
      </c>
      <c r="F21" s="53">
        <v>87.253136561158271</v>
      </c>
      <c r="G21" s="53">
        <v>81.178972136437139</v>
      </c>
      <c r="H21" s="53">
        <v>57.386929529378847</v>
      </c>
      <c r="I21" s="54">
        <v>44.855442809482213</v>
      </c>
      <c r="J21" s="35" cm="1">
        <f t="array" ref="J21">-SUMPRODUCT((D1:H1-C1:G1)*(C21:G21+D21:H21)/2)</f>
        <v>79.079417714109411</v>
      </c>
      <c r="K21" s="35" cm="1">
        <f t="array" ref="K21">-SUMPRODUCT((D1:I1-C1:H1)*(C21:H21+D21:I21)/2)</f>
        <v>81.635477022580943</v>
      </c>
      <c r="L21" s="12" t="str">
        <f t="shared" ref="L21:L23" si="2">"    "&amp;_xlfn.TEXTJOIN(", ",TRUE,C21:I21)&amp;","</f>
        <v xml:space="preserve">    92.9695181907571, 91.8515240904621, 90.756145526057, 87.2531365611583, 81.1789721364371, 57.3869295293788, 44.8554428094822,</v>
      </c>
      <c r="M21" s="111" t="s">
        <v>7</v>
      </c>
      <c r="N21" s="112"/>
      <c r="O21" s="52">
        <v>3.3991921823554931</v>
      </c>
      <c r="P21" s="53">
        <v>3.6561489783789969</v>
      </c>
      <c r="Q21" s="53">
        <v>3.4316179388806831</v>
      </c>
      <c r="R21" s="53">
        <v>3.3610781227617821</v>
      </c>
      <c r="S21" s="53">
        <v>5.2773835873092807</v>
      </c>
      <c r="T21" s="53">
        <v>8.2027130196510409</v>
      </c>
      <c r="U21" s="54">
        <v>5.203571843512913</v>
      </c>
      <c r="V21" s="12" t="str">
        <f t="shared" ref="V21:V23" si="3">"    "&amp;_xlfn.TEXTJOIN(", ",TRUE,O21:U21)&amp;","</f>
        <v xml:space="preserve">    3.39919218235549, 3.656148978379, 3.43161793888068, 3.36107812276178, 5.27738358730928, 8.20271301965104, 5.20357184351291,</v>
      </c>
    </row>
    <row r="22" spans="1:22" ht="15.75" customHeight="1" thickBot="1" x14ac:dyDescent="0.25">
      <c r="A22" s="102" t="s">
        <v>8</v>
      </c>
      <c r="B22" s="110"/>
      <c r="C22" s="55">
        <v>91.898721730580135</v>
      </c>
      <c r="D22" s="12">
        <v>90.765995668936</v>
      </c>
      <c r="E22" s="12">
        <v>89.705268500015848</v>
      </c>
      <c r="F22" s="12">
        <v>87.959685349065893</v>
      </c>
      <c r="G22" s="12">
        <v>85.750000720882824</v>
      </c>
      <c r="H22" s="12">
        <v>71.387388010853613</v>
      </c>
      <c r="I22" s="56">
        <v>45.596343105620853</v>
      </c>
      <c r="J22" s="35" cm="1">
        <f t="array" ref="J22">-SUMPRODUCT((D1:H1-C1:G1)*(C22:G22+D22:H22)/2)</f>
        <v>79.700846821050931</v>
      </c>
      <c r="K22" s="35" cm="1">
        <f t="array" ref="K22">-SUMPRODUCT((D1:I1-C1:H1)*(C22:H22+D22:I22)/2)</f>
        <v>82.625440098962798</v>
      </c>
      <c r="L22" s="12" t="str">
        <f t="shared" si="2"/>
        <v xml:space="preserve">    91.8987217305801, 90.765995668936, 89.7052685000158, 87.9596853490659, 85.7500007208828, 71.3873880108536, 45.5963431056209,</v>
      </c>
      <c r="M22" s="111" t="s">
        <v>8</v>
      </c>
      <c r="N22" s="112"/>
      <c r="O22" s="55">
        <v>3.190312271555559</v>
      </c>
      <c r="P22" s="12">
        <v>2.8828036064622768</v>
      </c>
      <c r="Q22" s="12">
        <v>2.5884740771146331</v>
      </c>
      <c r="R22" s="12">
        <v>2.6213450470877251</v>
      </c>
      <c r="S22" s="12">
        <v>3.203569989687661</v>
      </c>
      <c r="T22" s="12">
        <v>4.756712112750666</v>
      </c>
      <c r="U22" s="56">
        <v>2.488810891584841</v>
      </c>
      <c r="V22" s="12" t="str">
        <f t="shared" si="3"/>
        <v xml:space="preserve">    3.19031227155556, 2.88280360646228, 2.58847407711463, 2.62134504708773, 3.20356998968766, 4.75671211275067, 2.48881089158484,</v>
      </c>
    </row>
    <row r="23" spans="1:22" ht="15.75" customHeight="1" thickBot="1" x14ac:dyDescent="0.25">
      <c r="A23" s="111" t="s">
        <v>21</v>
      </c>
      <c r="B23" s="112"/>
      <c r="C23" s="55">
        <v>93.044276622923505</v>
      </c>
      <c r="D23" s="12">
        <v>91.935155148400938</v>
      </c>
      <c r="E23" s="12">
        <v>90.94889229145582</v>
      </c>
      <c r="F23" s="12">
        <v>85.952505356159378</v>
      </c>
      <c r="G23" s="12">
        <v>78.915183810701947</v>
      </c>
      <c r="H23" s="12">
        <v>59.442100133507502</v>
      </c>
      <c r="I23" s="56">
        <v>49.533828147302302</v>
      </c>
      <c r="J23" s="35" cm="1">
        <f t="array" ref="J23">-SUMPRODUCT((D1:H1-C1:G1)*(C23:G23+D23:H23)/2)</f>
        <v>78.834323321712716</v>
      </c>
      <c r="K23" s="35" cm="1">
        <f t="array" ref="K23">-SUMPRODUCT((D1:I1-C1:H1)*(C23:H23+D23:I23)/2)</f>
        <v>81.55872152873296</v>
      </c>
      <c r="L23" s="12" t="str">
        <f t="shared" si="2"/>
        <v xml:space="preserve">    93.0442766229235, 91.9351551484009, 90.9488922914558, 85.9525053561594, 78.9151838107019, 59.4421001335075, 49.5338281473023,</v>
      </c>
      <c r="M23" s="111" t="s">
        <v>21</v>
      </c>
      <c r="N23" s="112"/>
      <c r="O23" s="55">
        <v>3.72078192123604</v>
      </c>
      <c r="P23" s="12">
        <v>4.0467152776216686</v>
      </c>
      <c r="Q23" s="12">
        <v>4.0235763627769954</v>
      </c>
      <c r="R23" s="12">
        <v>4.4767633212331157</v>
      </c>
      <c r="S23" s="12">
        <v>7.2019016527503927</v>
      </c>
      <c r="T23" s="12">
        <v>10.04668436860082</v>
      </c>
      <c r="U23" s="56">
        <v>9.2355901481835172</v>
      </c>
      <c r="V23" s="12" t="str">
        <f t="shared" si="3"/>
        <v xml:space="preserve">    3.72078192123604, 4.04671527762167, 4.023576362777, 4.47676332123312, 7.20190165275039, 10.0466843686008, 9.23559014818352,</v>
      </c>
    </row>
    <row r="24" spans="1:22" ht="15.75" customHeight="1" thickBot="1" x14ac:dyDescent="0.25">
      <c r="A24" s="111" t="s">
        <v>22</v>
      </c>
      <c r="B24" s="112"/>
      <c r="C24" s="57"/>
      <c r="D24" s="58"/>
      <c r="E24" s="58"/>
      <c r="F24" s="58"/>
      <c r="G24" s="58"/>
      <c r="H24" s="58"/>
      <c r="I24" s="59"/>
      <c r="J24" s="35" cm="1">
        <f t="array" ref="J24">-SUMPRODUCT((D1:H1-C1:G1)*(C24:G24+D24:H24)/2)</f>
        <v>0</v>
      </c>
      <c r="K24" s="35" cm="1">
        <f t="array" ref="K24">-SUMPRODUCT((D1:I1-C1:H1)*(C24:H24+D24:I24)/2)</f>
        <v>0</v>
      </c>
      <c r="L24" s="12"/>
      <c r="M24" s="111" t="s">
        <v>22</v>
      </c>
      <c r="N24" s="112"/>
      <c r="O24" s="57"/>
      <c r="P24" s="58"/>
      <c r="Q24" s="58"/>
      <c r="R24" s="58"/>
      <c r="S24" s="58"/>
      <c r="T24" s="58"/>
      <c r="U24" s="59"/>
      <c r="V24" s="12"/>
    </row>
    <row r="25" spans="1:22" ht="15.75" customHeight="1" thickBot="1" x14ac:dyDescent="0.25">
      <c r="A25" s="111" t="s">
        <v>24</v>
      </c>
      <c r="B25" s="113"/>
      <c r="C25" s="114"/>
      <c r="D25" s="114"/>
      <c r="E25" s="114"/>
      <c r="F25" s="114"/>
      <c r="G25" s="114"/>
      <c r="H25" s="114"/>
      <c r="I25" s="115"/>
      <c r="J25" s="35"/>
      <c r="K25" s="35"/>
      <c r="L25" s="12"/>
      <c r="M25" s="111" t="s">
        <v>23</v>
      </c>
      <c r="N25" s="113"/>
      <c r="O25" s="114"/>
      <c r="P25" s="114"/>
      <c r="Q25" s="114"/>
      <c r="R25" s="114"/>
      <c r="S25" s="114"/>
      <c r="T25" s="114"/>
      <c r="U25" s="115"/>
      <c r="V25" s="12"/>
    </row>
    <row r="26" spans="1:22" ht="15.75" customHeight="1" thickBot="1" x14ac:dyDescent="0.25">
      <c r="A26" s="111" t="s">
        <v>7</v>
      </c>
      <c r="B26" s="112"/>
      <c r="C26">
        <v>92.697160010034693</v>
      </c>
      <c r="D26">
        <v>91.153392330383497</v>
      </c>
      <c r="E26">
        <v>90.795499961072366</v>
      </c>
      <c r="F26">
        <v>88.088668587098482</v>
      </c>
      <c r="G26">
        <v>82.942908964033734</v>
      </c>
      <c r="H26">
        <v>60.844658402466003</v>
      </c>
      <c r="I26">
        <v>46.037096630016983</v>
      </c>
      <c r="J26" s="35" cm="1">
        <f t="array" ref="J26">-SUMPRODUCT((D1:H1-C1:G1)*(C26:G26+D26:H26)/2)</f>
        <v>79.35430467968294</v>
      </c>
      <c r="K26" s="35" cm="1">
        <f t="array" ref="K26">-SUMPRODUCT((D1:I1-C1:H1)*(C26:H26+D26:I26)/2)</f>
        <v>82.026348555495019</v>
      </c>
      <c r="L26" s="12" t="str">
        <f t="shared" ref="L26:L28" si="4">"    "&amp;_xlfn.TEXTJOIN(", ",TRUE,C26:I26)&amp;","</f>
        <v xml:space="preserve">    92.6971600100347, 91.1533923303835, 90.7954999610724, 88.0886685870985, 82.9429089640337, 60.844658402466, 46.037096630017,</v>
      </c>
      <c r="M26" s="111" t="s">
        <v>7</v>
      </c>
      <c r="N26" s="112"/>
      <c r="O26">
        <v>3.4672971241319281</v>
      </c>
      <c r="P26">
        <v>3.40096673306943</v>
      </c>
      <c r="Q26">
        <v>3.3416051630714589</v>
      </c>
      <c r="R26">
        <v>3.2995786305620469</v>
      </c>
      <c r="S26">
        <v>4.8784748995715699</v>
      </c>
      <c r="T26">
        <v>8.9421591871466681</v>
      </c>
      <c r="U26">
        <v>6.1984010323546244</v>
      </c>
      <c r="V26" s="12" t="str">
        <f t="shared" ref="V26:V28" si="5">"    "&amp;_xlfn.TEXTJOIN(", ",TRUE,O26:U26)&amp;","</f>
        <v xml:space="preserve">    3.46729712413193, 3.40096673306943, 3.34160516307146, 3.29957863056205, 4.87847489957157, 8.94215918714667, 6.19840103235462,</v>
      </c>
    </row>
    <row r="27" spans="1:22" ht="15.75" customHeight="1" thickBot="1" x14ac:dyDescent="0.25">
      <c r="A27" s="102" t="s">
        <v>8</v>
      </c>
      <c r="B27" s="110"/>
      <c r="C27">
        <v>89.330608396266385</v>
      </c>
      <c r="D27">
        <v>87.685349065880033</v>
      </c>
      <c r="E27">
        <v>87.756341606184606</v>
      </c>
      <c r="F27">
        <v>87.372670467160916</v>
      </c>
      <c r="G27">
        <v>85.138095196901915</v>
      </c>
      <c r="H27">
        <v>69.818302926495917</v>
      </c>
      <c r="I27">
        <v>45.745505295605213</v>
      </c>
      <c r="J27" s="35" cm="1">
        <f t="array" ref="J27">-SUMPRODUCT((D1:H1-C1:G1)*(C27:G27+D27:H27)/2)</f>
        <v>77.943465413483963</v>
      </c>
      <c r="K27" s="35" cm="1">
        <f t="array" ref="K27">-SUMPRODUCT((D1:I1-C1:H1)*(C27:H27+D27:I27)/2)</f>
        <v>80.832560619036485</v>
      </c>
      <c r="L27" s="12" t="str">
        <f t="shared" si="4"/>
        <v xml:space="preserve">    89.3306083962664, 87.68534906588, 87.7563416061846, 87.3726704671609, 85.1380951969019, 69.8183029264959, 45.7455052956052,</v>
      </c>
      <c r="M27" s="111" t="s">
        <v>8</v>
      </c>
      <c r="N27" s="112"/>
      <c r="O27">
        <v>2.4752750787703639</v>
      </c>
      <c r="P27">
        <v>2.2350946776914431</v>
      </c>
      <c r="Q27">
        <v>2.3634860595969851</v>
      </c>
      <c r="R27">
        <v>2.1818023005855189</v>
      </c>
      <c r="S27">
        <v>2.7371586952142821</v>
      </c>
      <c r="T27">
        <v>3.7643473124505271</v>
      </c>
      <c r="U27">
        <v>2.8630655295390701</v>
      </c>
      <c r="V27" s="12" t="str">
        <f t="shared" si="5"/>
        <v xml:space="preserve">    2.47527507877036, 2.23509467769144, 2.36348605959699, 2.18180230058552, 2.73715869521428, 3.76434731245053, 2.86306552953907,</v>
      </c>
    </row>
    <row r="28" spans="1:22" ht="15.75" customHeight="1" thickBot="1" x14ac:dyDescent="0.25">
      <c r="A28" s="111" t="s">
        <v>21</v>
      </c>
      <c r="B28" s="112"/>
      <c r="C28">
        <v>93.512291052114051</v>
      </c>
      <c r="D28">
        <v>91.988206357033064</v>
      </c>
      <c r="E28">
        <v>90.337341441823312</v>
      </c>
      <c r="F28">
        <v>85.275345519136536</v>
      </c>
      <c r="G28">
        <v>76.743235956481755</v>
      </c>
      <c r="H28">
        <v>58.225117287635129</v>
      </c>
      <c r="I28">
        <v>48.536192642958277</v>
      </c>
      <c r="J28" s="35" cm="1">
        <f t="array" ref="J28">-SUMPRODUCT((D1:H1-C1:G1)*(C28:G28+D28:H28)/2)</f>
        <v>78.388871083083174</v>
      </c>
      <c r="K28" s="35" cm="1">
        <f t="array" ref="K28">-SUMPRODUCT((D1:I1-C1:H1)*(C28:H28+D28:I28)/2)</f>
        <v>81.057903831348014</v>
      </c>
      <c r="L28" s="12" t="str">
        <f t="shared" si="4"/>
        <v xml:space="preserve">    93.5122910521141, 91.9882063570331, 90.3373414418233, 85.2753455191365, 76.7432359564818, 58.2251172876351, 48.5361926429583,</v>
      </c>
      <c r="M28" s="111" t="s">
        <v>21</v>
      </c>
      <c r="N28" s="112"/>
      <c r="O28">
        <v>3.4388156450568661</v>
      </c>
      <c r="P28">
        <v>3.8166315583343611</v>
      </c>
      <c r="Q28">
        <v>4.5998469529406458</v>
      </c>
      <c r="R28">
        <v>5.1269711147756771</v>
      </c>
      <c r="S28">
        <v>7.9209324172352309</v>
      </c>
      <c r="T28">
        <v>10.577150969508549</v>
      </c>
      <c r="U28">
        <v>8.32548554358935</v>
      </c>
      <c r="V28" s="12" t="str">
        <f t="shared" si="5"/>
        <v xml:space="preserve">    3.43881564505687, 3.81663155833436, 4.59984695294065, 5.12697111477568, 7.92093241723523, 10.5771509695085, 8.32548554358935,</v>
      </c>
    </row>
    <row r="29" spans="1:22" ht="15.75" customHeight="1" thickBot="1" x14ac:dyDescent="0.25">
      <c r="A29" s="111" t="s">
        <v>22</v>
      </c>
      <c r="B29" s="112"/>
      <c r="C29" s="126"/>
      <c r="D29" s="126"/>
      <c r="E29" s="126"/>
      <c r="F29" s="126"/>
      <c r="G29" s="126"/>
      <c r="H29" s="126"/>
      <c r="I29" s="126"/>
      <c r="J29" s="35" cm="1">
        <f t="array" ref="J29">-SUMPRODUCT((D1:H1-C1:G1)*(C29:G29+D29:H29)/2)</f>
        <v>0</v>
      </c>
      <c r="K29" s="35" cm="1">
        <f t="array" ref="K29">-SUMPRODUCT((D1:I1-C1:H1)*(C29:H29+D29:I29)/2)</f>
        <v>0</v>
      </c>
      <c r="L29" s="12"/>
      <c r="M29" s="111" t="s">
        <v>22</v>
      </c>
      <c r="N29" s="112"/>
      <c r="O29" s="95"/>
      <c r="P29" s="96"/>
      <c r="Q29" s="96"/>
      <c r="R29" s="96"/>
      <c r="S29" s="96"/>
      <c r="T29" s="96"/>
      <c r="U29" s="97"/>
      <c r="V29" s="12"/>
    </row>
    <row r="30" spans="1:22" ht="15" thickBo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2" ht="15.75" thickBot="1" x14ac:dyDescent="0.25">
      <c r="A31" s="4" t="s">
        <v>3</v>
      </c>
      <c r="B31" s="5" t="s">
        <v>1</v>
      </c>
      <c r="C31" s="15">
        <v>1</v>
      </c>
      <c r="D31" s="15">
        <v>0.75</v>
      </c>
      <c r="E31" s="15">
        <v>0.5</v>
      </c>
      <c r="F31" s="15">
        <v>0.3</v>
      </c>
      <c r="G31" s="15">
        <v>0.2</v>
      </c>
      <c r="H31" s="15">
        <v>0.1</v>
      </c>
      <c r="I31" s="5">
        <v>0.05</v>
      </c>
      <c r="J31" s="19"/>
      <c r="K31" s="19"/>
      <c r="L31" s="1"/>
      <c r="M31" s="4" t="s">
        <v>4</v>
      </c>
      <c r="N31" s="5" t="s">
        <v>1</v>
      </c>
      <c r="O31" s="16">
        <v>1</v>
      </c>
      <c r="P31" s="16">
        <v>0.75</v>
      </c>
      <c r="Q31" s="16">
        <v>0.5</v>
      </c>
      <c r="R31" s="16">
        <v>0.3</v>
      </c>
      <c r="S31" s="16">
        <v>0.2</v>
      </c>
      <c r="T31" s="16">
        <v>0.1</v>
      </c>
      <c r="U31" s="2">
        <v>0.05</v>
      </c>
      <c r="V31" s="1"/>
    </row>
    <row r="32" spans="1:22" ht="15.75" thickBot="1" x14ac:dyDescent="0.25">
      <c r="A32" s="98" t="s">
        <v>5</v>
      </c>
      <c r="B32" s="99"/>
      <c r="C32" s="41">
        <v>92.567111769713335</v>
      </c>
      <c r="D32" s="41">
        <v>90.835858608343599</v>
      </c>
      <c r="E32" s="41">
        <v>89.217505339533233</v>
      </c>
      <c r="F32" s="41">
        <v>83.237245964288078</v>
      </c>
      <c r="G32" s="41">
        <v>75.380430844191011</v>
      </c>
      <c r="H32" s="41">
        <v>58.994367187597383</v>
      </c>
      <c r="I32" s="42">
        <v>43.622535641382179</v>
      </c>
      <c r="J32" s="44"/>
      <c r="K32" s="44"/>
      <c r="L32" s="1" t="str">
        <f>"    "&amp;_xlfn.TEXTJOIN(", ",TRUE,C32:I32)&amp;","</f>
        <v xml:space="preserve">    92.5671117697133, 90.8358586083436, 89.2175053395332, 83.2372459642881, 75.380430844191, 58.9943671875974, 43.6225356413822,</v>
      </c>
      <c r="M32" s="98" t="s">
        <v>5</v>
      </c>
      <c r="N32" s="99"/>
      <c r="O32" s="40">
        <v>3.88093621561358</v>
      </c>
      <c r="P32" s="41">
        <v>4.8164746829677396</v>
      </c>
      <c r="Q32" s="41">
        <v>5.2250608386616522</v>
      </c>
      <c r="R32" s="41">
        <v>5.6675721086724113</v>
      </c>
      <c r="S32" s="41">
        <v>8.3263283482936075</v>
      </c>
      <c r="T32" s="41">
        <v>10.49020927094638</v>
      </c>
      <c r="U32" s="42">
        <v>11.060437347759546</v>
      </c>
      <c r="V32" s="1" t="str">
        <f>"    "&amp;_xlfn.TEXTJOIN(", ",TRUE,O32:U32)&amp;","</f>
        <v xml:space="preserve">    3.88093621561358, 4.81647468296774, 5.22506083866165, 5.66757210867241, 8.32632834829361, 10.4902092709464, 11.0604373477595,</v>
      </c>
    </row>
    <row r="33" spans="1:22" ht="15.75" thickBot="1" x14ac:dyDescent="0.25">
      <c r="A33" s="98" t="s">
        <v>6</v>
      </c>
      <c r="B33" s="99"/>
      <c r="C33" s="41">
        <v>92.866950218042462</v>
      </c>
      <c r="D33" s="41">
        <v>91.242690764745561</v>
      </c>
      <c r="E33" s="41">
        <v>90.137053227698445</v>
      </c>
      <c r="F33" s="41">
        <v>86.080152926613408</v>
      </c>
      <c r="G33" s="41">
        <v>77.410217255196784</v>
      </c>
      <c r="H33" s="41">
        <v>59.676194764980139</v>
      </c>
      <c r="I33" s="42">
        <v>46.395490419404197</v>
      </c>
      <c r="J33" s="44"/>
      <c r="K33" s="44"/>
      <c r="L33" s="1" t="str">
        <f>"    "&amp;_xlfn.TEXTJOIN(", ",TRUE,C33:I33)&amp;","</f>
        <v xml:space="preserve">    92.8669502180425, 91.2426907647456, 90.1370532276984, 86.0801529266134, 77.4102172551968, 59.6761947649801, 46.3954904194042,</v>
      </c>
      <c r="M33" s="98" t="s">
        <v>6</v>
      </c>
      <c r="N33" s="99"/>
      <c r="O33" s="41">
        <v>3.8319643020864191</v>
      </c>
      <c r="P33" s="41">
        <v>4.3603246705255447</v>
      </c>
      <c r="Q33" s="41">
        <v>4.7987735191879262</v>
      </c>
      <c r="R33" s="41">
        <v>5.1262965367330251</v>
      </c>
      <c r="S33" s="41">
        <v>7.087258799823358</v>
      </c>
      <c r="T33" s="41">
        <v>9.7457736576346736</v>
      </c>
      <c r="U33" s="42">
        <v>10.021578856839133</v>
      </c>
      <c r="V33" s="1" t="str">
        <f t="shared" ref="V33:V48" si="6">"    "&amp;_xlfn.TEXTJOIN(", ",TRUE,O33:U33)&amp;","</f>
        <v xml:space="preserve">    3.83196430208642, 4.36032467052554, 4.79877351918793, 5.12629653673303, 7.08725879982336, 9.74577365763467, 10.0215788568391,</v>
      </c>
    </row>
    <row r="34" spans="1:22" ht="15.75" thickBot="1" x14ac:dyDescent="0.25">
      <c r="A34" s="98" t="s">
        <v>10</v>
      </c>
      <c r="B34" s="99"/>
      <c r="C34" s="28">
        <v>87.268396410214976</v>
      </c>
      <c r="D34" s="29">
        <v>87.256428398686779</v>
      </c>
      <c r="E34" s="29">
        <v>87.822106304170404</v>
      </c>
      <c r="F34" s="29">
        <v>87.68072644235157</v>
      </c>
      <c r="G34" s="29">
        <v>87.144879367185226</v>
      </c>
      <c r="H34" s="29">
        <v>74.976567886515753</v>
      </c>
      <c r="I34" s="30">
        <v>46.41754739488244</v>
      </c>
      <c r="J34" s="44"/>
      <c r="K34" s="44"/>
      <c r="L34" s="1" t="str">
        <f t="shared" ref="L34:L43" si="7">"    "&amp;_xlfn.TEXTJOIN(", ",TRUE,C34:I34)&amp;","</f>
        <v xml:space="preserve">    87.268396410215, 87.2564283986868, 87.8221063041704, 87.6807264423516, 87.1448793671852, 74.9765678865158, 46.4175473948824,</v>
      </c>
      <c r="M34" s="98" t="s">
        <v>10</v>
      </c>
      <c r="N34" s="99"/>
      <c r="O34" s="28">
        <v>2.610595868561878</v>
      </c>
      <c r="P34" s="29">
        <v>2.3209805270224559</v>
      </c>
      <c r="Q34" s="29">
        <v>2.4426244152699921</v>
      </c>
      <c r="R34" s="29">
        <v>2.2821255442986761</v>
      </c>
      <c r="S34" s="29">
        <v>2.523131741400912</v>
      </c>
      <c r="T34" s="29">
        <v>3.7626100419371111</v>
      </c>
      <c r="U34" s="30">
        <v>4.1161081119796732</v>
      </c>
      <c r="V34" s="1" t="str">
        <f t="shared" si="6"/>
        <v xml:space="preserve">    2.61059586856188, 2.32098052702246, 2.44262441526999, 2.28212554429868, 2.52313174140091, 3.76261004193711, 4.11610811197967,</v>
      </c>
    </row>
    <row r="35" spans="1:22" ht="15.75" thickBot="1" x14ac:dyDescent="0.25">
      <c r="A35" s="98" t="s">
        <v>12</v>
      </c>
      <c r="B35" s="107"/>
      <c r="C35" s="107"/>
      <c r="D35" s="107"/>
      <c r="E35" s="107"/>
      <c r="F35" s="107"/>
      <c r="G35" s="107"/>
      <c r="H35" s="107"/>
      <c r="I35" s="99"/>
      <c r="J35" s="44"/>
      <c r="K35" s="44"/>
      <c r="L35" s="1"/>
      <c r="M35" s="98" t="s">
        <v>12</v>
      </c>
      <c r="N35" s="107"/>
      <c r="O35" s="107"/>
      <c r="P35" s="107"/>
      <c r="Q35" s="107"/>
      <c r="R35" s="107"/>
      <c r="S35" s="107"/>
      <c r="T35" s="107"/>
      <c r="U35" s="99"/>
      <c r="V35" s="1"/>
    </row>
    <row r="36" spans="1:22" ht="15.75" thickBot="1" x14ac:dyDescent="0.25">
      <c r="A36" s="100" t="s">
        <v>11</v>
      </c>
      <c r="B36" s="9" t="s">
        <v>13</v>
      </c>
      <c r="C36" s="65">
        <v>92.975694513442221</v>
      </c>
      <c r="D36" s="66">
        <v>91.363613749154311</v>
      </c>
      <c r="E36" s="66">
        <v>90.094017961161143</v>
      </c>
      <c r="F36" s="66">
        <v>85.37773791839254</v>
      </c>
      <c r="G36" s="66">
        <v>79.268159049010507</v>
      </c>
      <c r="H36" s="66">
        <v>60.52121651399365</v>
      </c>
      <c r="I36" s="67">
        <v>42.05444880665619</v>
      </c>
      <c r="J36" s="44"/>
      <c r="K36" s="44"/>
      <c r="L36" s="1" t="str">
        <f t="shared" si="7"/>
        <v xml:space="preserve">    92.9756945134422, 91.3636137491543, 90.0940179611611, 85.3777379183925, 79.2681590490105, 60.5212165139937, 42.0544488066562,</v>
      </c>
      <c r="M36" s="100" t="s">
        <v>11</v>
      </c>
      <c r="N36" s="9" t="s">
        <v>13</v>
      </c>
      <c r="O36" s="65">
        <v>3.782557259829499</v>
      </c>
      <c r="P36" s="66">
        <v>4.4459073754732694</v>
      </c>
      <c r="Q36" s="66">
        <v>4.6323081197737448</v>
      </c>
      <c r="R36" s="66">
        <v>5.3746795640933653</v>
      </c>
      <c r="S36" s="66">
        <v>5.9912912250355319</v>
      </c>
      <c r="T36" s="66">
        <v>9.0901817740237139</v>
      </c>
      <c r="U36" s="67">
        <v>9.5108664952359483</v>
      </c>
      <c r="V36" s="1" t="str">
        <f t="shared" si="6"/>
        <v xml:space="preserve">    3.7825572598295, 4.44590737547327, 4.63230811977374, 5.37467956409337, 5.99129122503553, 9.09018177402371, 9.51086649523595,</v>
      </c>
    </row>
    <row r="37" spans="1:22" ht="15.75" thickBot="1" x14ac:dyDescent="0.25">
      <c r="A37" s="105"/>
      <c r="B37" s="9" t="s">
        <v>14</v>
      </c>
      <c r="C37" s="65">
        <v>92.311293413260969</v>
      </c>
      <c r="D37" s="66">
        <v>92.333521756806476</v>
      </c>
      <c r="E37" s="66">
        <v>91.381357522919643</v>
      </c>
      <c r="F37" s="66">
        <v>88.560101371956989</v>
      </c>
      <c r="G37" s="66">
        <v>87.278991705998607</v>
      </c>
      <c r="H37" s="66">
        <v>75.38789705567028</v>
      </c>
      <c r="I37" s="67">
        <v>47.478737907175287</v>
      </c>
      <c r="J37" s="44"/>
      <c r="K37" s="44"/>
      <c r="L37" s="1" t="str">
        <f t="shared" si="7"/>
        <v xml:space="preserve">    92.311293413261, 92.3335217568065, 91.3813575229196, 88.560101371957, 87.2789917059986, 75.3878970556703, 47.4787379071753,</v>
      </c>
      <c r="M37" s="105"/>
      <c r="N37" s="9" t="s">
        <v>14</v>
      </c>
      <c r="O37" s="65">
        <v>3.45837660705662</v>
      </c>
      <c r="P37" s="66">
        <v>3.6213315124355141</v>
      </c>
      <c r="Q37" s="66">
        <v>3.418827656161032</v>
      </c>
      <c r="R37" s="66">
        <v>3.2543979140806938</v>
      </c>
      <c r="S37" s="66">
        <v>3.202126822778443</v>
      </c>
      <c r="T37" s="66">
        <v>5.2358921781492196</v>
      </c>
      <c r="U37" s="67">
        <v>6.1375770825509051</v>
      </c>
      <c r="V37" s="1" t="str">
        <f t="shared" si="6"/>
        <v xml:space="preserve">    3.45837660705662, 3.62133151243551, 3.41882765616103, 3.25439791408069, 3.20212682277844, 5.23589217814922, 6.13757708255091,</v>
      </c>
    </row>
    <row r="38" spans="1:22" ht="15.75" thickBot="1" x14ac:dyDescent="0.25">
      <c r="A38" s="105"/>
      <c r="B38" s="9" t="s">
        <v>17</v>
      </c>
      <c r="C38" s="65">
        <v>92.98334081387425</v>
      </c>
      <c r="D38" s="66">
        <v>92.665002460688413</v>
      </c>
      <c r="E38" s="66">
        <v>91.240968563949494</v>
      </c>
      <c r="F38" s="66">
        <v>84.837780429069838</v>
      </c>
      <c r="G38" s="66">
        <v>75.450480295384878</v>
      </c>
      <c r="H38" s="66">
        <v>59.708500699124301</v>
      </c>
      <c r="I38" s="67">
        <v>46.827950364949707</v>
      </c>
      <c r="J38" s="44"/>
      <c r="K38" s="44"/>
      <c r="L38" s="1"/>
      <c r="M38" s="105"/>
      <c r="N38" s="9" t="s">
        <v>17</v>
      </c>
      <c r="O38" s="65">
        <v>4.047029068549703</v>
      </c>
      <c r="P38" s="66">
        <v>4.0939802876249018</v>
      </c>
      <c r="Q38" s="66">
        <v>4.4520389395614499</v>
      </c>
      <c r="R38" s="66">
        <v>5.8725133520041934</v>
      </c>
      <c r="S38" s="66">
        <v>9.1198860433459092</v>
      </c>
      <c r="T38" s="66">
        <v>11.4228840807754</v>
      </c>
      <c r="U38" s="67">
        <v>9.7047317426323225</v>
      </c>
      <c r="V38" s="1"/>
    </row>
    <row r="39" spans="1:22" ht="15.75" thickBot="1" x14ac:dyDescent="0.25">
      <c r="A39" s="105"/>
      <c r="B39" s="9" t="s">
        <v>18</v>
      </c>
      <c r="C39" s="65">
        <v>93.003107171421291</v>
      </c>
      <c r="D39" s="66">
        <v>92.882665900806714</v>
      </c>
      <c r="E39" s="66">
        <v>92.323250249861715</v>
      </c>
      <c r="F39" s="66">
        <v>87.896361279111929</v>
      </c>
      <c r="G39" s="66">
        <v>80.149965599113543</v>
      </c>
      <c r="H39" s="66">
        <v>57.360910597574737</v>
      </c>
      <c r="I39" s="67">
        <v>43.986149507359343</v>
      </c>
      <c r="J39" s="44"/>
      <c r="K39" s="44"/>
      <c r="L39" s="1"/>
      <c r="M39" s="105"/>
      <c r="N39" s="9" t="s">
        <v>18</v>
      </c>
      <c r="O39" s="65">
        <v>3.8815673789284708</v>
      </c>
      <c r="P39" s="66">
        <v>4.3723258101522813</v>
      </c>
      <c r="Q39" s="66">
        <v>4.2934275551121281</v>
      </c>
      <c r="R39" s="66">
        <v>5.2017150988587044</v>
      </c>
      <c r="S39" s="66">
        <v>7.2625504458350916</v>
      </c>
      <c r="T39" s="66">
        <v>11.40658683680142</v>
      </c>
      <c r="U39" s="67">
        <v>9.5393474867950871</v>
      </c>
      <c r="V39" s="1"/>
    </row>
    <row r="40" spans="1:22" ht="15.75" thickBot="1" x14ac:dyDescent="0.25">
      <c r="A40" s="105"/>
      <c r="B40" s="9" t="s">
        <v>15</v>
      </c>
      <c r="C40" s="65">
        <v>92.988386774165761</v>
      </c>
      <c r="D40" s="66">
        <v>92.050616029386802</v>
      </c>
      <c r="E40" s="66">
        <v>90.719698676196401</v>
      </c>
      <c r="F40" s="66">
        <v>88.185686945633506</v>
      </c>
      <c r="G40" s="66">
        <v>83.275334389555965</v>
      </c>
      <c r="H40" s="66">
        <v>64.685401955234482</v>
      </c>
      <c r="I40" s="67">
        <v>51.069046974801182</v>
      </c>
      <c r="J40" s="44"/>
      <c r="K40" s="44"/>
      <c r="L40" s="1" t="str">
        <f t="shared" si="7"/>
        <v xml:space="preserve">    92.9883867741658, 92.0506160293868, 90.7196986761964, 88.1856869456335, 83.275334389556, 64.6854019552345, 51.0690469748012,</v>
      </c>
      <c r="M40" s="105"/>
      <c r="N40" s="9" t="s">
        <v>15</v>
      </c>
      <c r="O40" s="65">
        <v>3.845990120862357</v>
      </c>
      <c r="P40" s="66">
        <v>4.1197830115536282</v>
      </c>
      <c r="Q40" s="66">
        <v>3.9254290526154212</v>
      </c>
      <c r="R40" s="66">
        <v>4.2886830099031732</v>
      </c>
      <c r="S40" s="66">
        <v>5.0859486951315533</v>
      </c>
      <c r="T40" s="66">
        <v>7.2871022167686217</v>
      </c>
      <c r="U40" s="67">
        <v>6.9147061894583581</v>
      </c>
      <c r="V40" s="1"/>
    </row>
    <row r="41" spans="1:22" ht="15.75" thickBot="1" x14ac:dyDescent="0.25">
      <c r="A41" s="105"/>
      <c r="B41" s="9" t="s">
        <v>25</v>
      </c>
      <c r="C41" s="71">
        <v>90.557937802976383</v>
      </c>
      <c r="D41" s="72">
        <v>89.886230037289053</v>
      </c>
      <c r="E41" s="72">
        <v>89.784544221380457</v>
      </c>
      <c r="F41" s="72">
        <v>88.385012329947799</v>
      </c>
      <c r="G41" s="72">
        <v>86.648926570357631</v>
      </c>
      <c r="H41" s="72">
        <v>75.600385397228763</v>
      </c>
      <c r="I41" s="73">
        <v>46.810733956645073</v>
      </c>
      <c r="J41" s="44"/>
      <c r="K41" s="44"/>
      <c r="L41" s="1"/>
      <c r="M41" s="105"/>
      <c r="N41" s="9" t="s">
        <v>25</v>
      </c>
      <c r="O41" s="71">
        <v>3.5359425091643861</v>
      </c>
      <c r="P41" s="72">
        <v>2.9479688908817572</v>
      </c>
      <c r="Q41" s="72">
        <v>3.0863691442002841</v>
      </c>
      <c r="R41" s="72">
        <v>2.7063960445241841</v>
      </c>
      <c r="S41" s="72">
        <v>3.1149226793442399</v>
      </c>
      <c r="T41" s="72">
        <v>3.6181303084227601</v>
      </c>
      <c r="U41" s="73">
        <v>2.9939108090159601</v>
      </c>
      <c r="V41" s="1"/>
    </row>
    <row r="42" spans="1:22" ht="15.75" thickBot="1" x14ac:dyDescent="0.25">
      <c r="A42" s="105"/>
      <c r="B42" s="9" t="s">
        <v>19</v>
      </c>
      <c r="C42" s="65">
        <v>89.74449346032101</v>
      </c>
      <c r="D42" s="66">
        <v>89.961854893326574</v>
      </c>
      <c r="E42" s="66">
        <v>90.011537582574022</v>
      </c>
      <c r="F42" s="66">
        <v>90.064770133428496</v>
      </c>
      <c r="G42" s="66">
        <v>88.967446677518851</v>
      </c>
      <c r="H42" s="66">
        <v>80.083589667611676</v>
      </c>
      <c r="I42" s="67">
        <v>52.982008110476087</v>
      </c>
      <c r="J42" s="44"/>
      <c r="K42" s="44"/>
      <c r="L42" s="1"/>
      <c r="M42" s="105"/>
      <c r="N42" s="9" t="s">
        <v>19</v>
      </c>
      <c r="O42" s="65">
        <v>2.9793986812049931</v>
      </c>
      <c r="P42" s="66">
        <v>2.5386471681353431</v>
      </c>
      <c r="Q42" s="66">
        <v>2.4449126963196481</v>
      </c>
      <c r="R42" s="66">
        <v>2.6222789037595908</v>
      </c>
      <c r="S42" s="66">
        <v>2.7817641077346069</v>
      </c>
      <c r="T42" s="66">
        <v>4.0935792052005926</v>
      </c>
      <c r="U42" s="67">
        <v>6.5884863469929558</v>
      </c>
      <c r="V42" s="1"/>
    </row>
    <row r="43" spans="1:22" ht="15.75" thickBot="1" x14ac:dyDescent="0.25">
      <c r="A43" s="105"/>
      <c r="B43" s="9" t="s">
        <v>16</v>
      </c>
      <c r="C43" s="65">
        <v>87.287634799049286</v>
      </c>
      <c r="D43" s="66">
        <v>86.878696750662726</v>
      </c>
      <c r="E43" s="66">
        <v>87.083363148466532</v>
      </c>
      <c r="F43" s="66">
        <v>87.300294897904948</v>
      </c>
      <c r="G43" s="66">
        <v>86.527431822215689</v>
      </c>
      <c r="H43" s="66">
        <v>75.689128775848914</v>
      </c>
      <c r="I43" s="67">
        <v>46.886907074094779</v>
      </c>
      <c r="J43" s="44"/>
      <c r="K43" s="44"/>
      <c r="L43" s="1" t="str">
        <f t="shared" si="7"/>
        <v xml:space="preserve">    87.2876347990493, 86.8786967506627, 87.0833631484665, 87.3002948979049, 86.5274318222157, 75.6891287758489, 46.8869070740948,</v>
      </c>
      <c r="M43" s="105"/>
      <c r="N43" s="9" t="s">
        <v>16</v>
      </c>
      <c r="O43" s="65">
        <v>2.5152339820278629</v>
      </c>
      <c r="P43" s="66">
        <v>2.5980079882709322</v>
      </c>
      <c r="Q43" s="66">
        <v>2.0296317104437578</v>
      </c>
      <c r="R43" s="66">
        <v>2.161003670540631</v>
      </c>
      <c r="S43" s="66">
        <v>1.7804591714461351</v>
      </c>
      <c r="T43" s="66">
        <v>3.6175089321994709</v>
      </c>
      <c r="U43" s="67">
        <v>4.0563769517378363</v>
      </c>
      <c r="V43" s="1"/>
    </row>
    <row r="44" spans="1:22" ht="15.75" thickBot="1" x14ac:dyDescent="0.25">
      <c r="A44" s="106"/>
      <c r="B44" s="9" t="s">
        <v>26</v>
      </c>
      <c r="C44" s="71">
        <v>86.92964367820916</v>
      </c>
      <c r="D44" s="72">
        <v>86.866051061699935</v>
      </c>
      <c r="E44" s="72">
        <v>86.762869729013673</v>
      </c>
      <c r="F44" s="72">
        <v>87.364519247017455</v>
      </c>
      <c r="G44" s="72">
        <v>86.199216005572438</v>
      </c>
      <c r="H44" s="72">
        <v>73.575313464991169</v>
      </c>
      <c r="I44" s="73">
        <v>45.850722883932022</v>
      </c>
      <c r="J44" s="44"/>
      <c r="K44" s="44"/>
      <c r="L44" s="1"/>
      <c r="M44" s="106"/>
      <c r="N44" s="9" t="s">
        <v>26</v>
      </c>
      <c r="O44" s="71">
        <v>2.3788555625895009</v>
      </c>
      <c r="P44" s="72">
        <v>1.890618139395533</v>
      </c>
      <c r="Q44" s="72">
        <v>2.0117430969950041</v>
      </c>
      <c r="R44" s="72">
        <v>1.842672316420805</v>
      </c>
      <c r="S44" s="72">
        <v>1.6901439926207229</v>
      </c>
      <c r="T44" s="72">
        <v>3.097142103089753</v>
      </c>
      <c r="U44" s="73">
        <v>2.401443710230565</v>
      </c>
      <c r="V44" s="1"/>
    </row>
    <row r="45" spans="1:22" ht="15.75" thickBot="1" x14ac:dyDescent="0.25">
      <c r="A45" s="98" t="s">
        <v>20</v>
      </c>
      <c r="B45" s="107"/>
      <c r="C45" s="108"/>
      <c r="D45" s="108"/>
      <c r="E45" s="108"/>
      <c r="F45" s="108"/>
      <c r="G45" s="108"/>
      <c r="H45" s="108"/>
      <c r="I45" s="109"/>
      <c r="J45" s="44"/>
      <c r="K45" s="44"/>
      <c r="L45" s="1"/>
      <c r="M45" s="98" t="s">
        <v>20</v>
      </c>
      <c r="N45" s="107"/>
      <c r="O45" s="108"/>
      <c r="P45" s="108"/>
      <c r="Q45" s="108"/>
      <c r="R45" s="108"/>
      <c r="S45" s="108"/>
      <c r="T45" s="108"/>
      <c r="U45" s="109"/>
      <c r="V45" s="1"/>
    </row>
    <row r="46" spans="1:22" ht="14.25" customHeight="1" thickBot="1" x14ac:dyDescent="0.25">
      <c r="A46" s="98" t="s">
        <v>7</v>
      </c>
      <c r="B46" s="99"/>
      <c r="C46" s="60">
        <v>93.403798109785029</v>
      </c>
      <c r="D46" s="61">
        <v>91.51700700493744</v>
      </c>
      <c r="E46" s="61">
        <v>89.749880462689262</v>
      </c>
      <c r="F46" s="61">
        <v>83.99730958119234</v>
      </c>
      <c r="G46" s="61">
        <v>74.394962965986878</v>
      </c>
      <c r="H46" s="61">
        <v>58.095582470498513</v>
      </c>
      <c r="I46" s="62">
        <v>44.434812706207254</v>
      </c>
      <c r="J46" s="44"/>
      <c r="K46" s="44"/>
      <c r="L46" s="1" t="str">
        <f t="shared" ref="L46:L48" si="8">"    "&amp;_xlfn.TEXTJOIN(", ",TRUE,C46:I46)&amp;","</f>
        <v xml:space="preserve">    93.403798109785, 91.5170070049374, 89.7498804626893, 83.9973095811923, 74.3949629659869, 58.0955824704985, 44.4348127062073,</v>
      </c>
      <c r="M46" s="98" t="s">
        <v>7</v>
      </c>
      <c r="N46" s="99"/>
      <c r="O46" s="60">
        <v>3.9553866501853321</v>
      </c>
      <c r="P46" s="61">
        <v>4.517630835861226</v>
      </c>
      <c r="Q46" s="61">
        <v>5.2125425794506972</v>
      </c>
      <c r="R46" s="61">
        <v>5.6477461387684551</v>
      </c>
      <c r="S46" s="61">
        <v>8.6090564713117175</v>
      </c>
      <c r="T46" s="61">
        <v>11.357157347254571</v>
      </c>
      <c r="U46" s="62">
        <v>9.3757621724255777</v>
      </c>
      <c r="V46" s="1" t="str">
        <f t="shared" si="6"/>
        <v xml:space="preserve">    3.95538665018533, 4.51763083586123, 5.2125425794507, 5.64774613876846, 8.60905647131172, 11.3571573472546, 9.37576217242558,</v>
      </c>
    </row>
    <row r="47" spans="1:22" ht="15.75" thickBot="1" x14ac:dyDescent="0.25">
      <c r="A47" s="98" t="s">
        <v>8</v>
      </c>
      <c r="B47" s="99"/>
      <c r="C47" s="63">
        <v>92.778947400409621</v>
      </c>
      <c r="D47" s="1">
        <v>91.450368996373655</v>
      </c>
      <c r="E47" s="1">
        <v>89.879480954542075</v>
      </c>
      <c r="F47" s="1">
        <v>84.748756470336986</v>
      </c>
      <c r="G47" s="1">
        <v>75.627608782580538</v>
      </c>
      <c r="H47" s="1">
        <v>58.300265665116903</v>
      </c>
      <c r="I47" s="64">
        <v>48.584106437626268</v>
      </c>
      <c r="J47" s="44"/>
      <c r="K47" s="44"/>
      <c r="L47" s="1" t="str">
        <f t="shared" si="8"/>
        <v xml:space="preserve">    92.7789474004096, 91.4503689963737, 89.8794809545421, 84.748756470337, 75.6276087825805, 58.3002656651169, 48.5841064376263,</v>
      </c>
      <c r="M47" s="98" t="s">
        <v>8</v>
      </c>
      <c r="N47" s="99"/>
      <c r="O47" s="63">
        <v>4.3743918396131134</v>
      </c>
      <c r="P47" s="1">
        <v>5.1779143655465321</v>
      </c>
      <c r="Q47" s="1">
        <v>4.8362705721377752</v>
      </c>
      <c r="R47" s="1">
        <v>5.6797782301447892</v>
      </c>
      <c r="S47" s="1">
        <v>9.0190902977959446</v>
      </c>
      <c r="T47" s="1">
        <v>11.000258135261941</v>
      </c>
      <c r="U47" s="64">
        <v>9.2918474149187738</v>
      </c>
      <c r="V47" s="1" t="str">
        <f t="shared" si="6"/>
        <v xml:space="preserve">    4.37439183961311, 5.17791436554653, 4.83627057213778, 5.67977823014479, 9.01909029779594, 11.0002581352619, 9.29184741491877,</v>
      </c>
    </row>
    <row r="48" spans="1:22" ht="15.75" thickBot="1" x14ac:dyDescent="0.25">
      <c r="A48" s="98" t="s">
        <v>21</v>
      </c>
      <c r="B48" s="99"/>
      <c r="C48" s="63">
        <v>92.492055194421354</v>
      </c>
      <c r="D48" s="1">
        <v>91.055738083245984</v>
      </c>
      <c r="E48" s="1">
        <v>89.241264887762341</v>
      </c>
      <c r="F48" s="1">
        <v>82.713601809643421</v>
      </c>
      <c r="G48" s="1">
        <v>73.133677048774885</v>
      </c>
      <c r="H48" s="1">
        <v>56.229205901331248</v>
      </c>
      <c r="I48" s="64">
        <v>43.695396708102962</v>
      </c>
      <c r="J48" s="44"/>
      <c r="K48" s="44"/>
      <c r="L48" s="1" t="str">
        <f t="shared" si="8"/>
        <v xml:space="preserve">    92.4920551944214, 91.055738083246, 89.2412648877623, 82.7136018096434, 73.1336770487749, 56.2292059013312, 43.695396708103,</v>
      </c>
      <c r="M48" s="98" t="s">
        <v>21</v>
      </c>
      <c r="N48" s="99"/>
      <c r="O48" s="63">
        <v>4.0986250609792014</v>
      </c>
      <c r="P48" s="1">
        <v>4.5926443490712341</v>
      </c>
      <c r="Q48" s="1">
        <v>4.8521598807380544</v>
      </c>
      <c r="R48" s="1">
        <v>5.8188919126166327</v>
      </c>
      <c r="S48" s="1">
        <v>9.5088987825376563</v>
      </c>
      <c r="T48" s="1">
        <v>11.32839542788332</v>
      </c>
      <c r="U48" s="64">
        <v>10.62887090695313</v>
      </c>
      <c r="V48" s="1" t="str">
        <f t="shared" si="6"/>
        <v xml:space="preserve">    4.0986250609792, 4.59264434907123, 4.85215988073805, 5.81889191261663, 9.50889878253766, 11.3283954278833, 10.6288709069531,</v>
      </c>
    </row>
    <row r="49" spans="1:22" ht="15.75" thickBot="1" x14ac:dyDescent="0.25">
      <c r="A49" s="98" t="s">
        <v>22</v>
      </c>
      <c r="B49" s="99"/>
      <c r="C49" s="65"/>
      <c r="D49" s="66"/>
      <c r="E49" s="66"/>
      <c r="F49" s="66"/>
      <c r="G49" s="66"/>
      <c r="H49" s="66"/>
      <c r="I49" s="67"/>
      <c r="J49" s="51"/>
      <c r="K49" s="51"/>
      <c r="L49" s="50"/>
      <c r="M49" s="98" t="s">
        <v>22</v>
      </c>
      <c r="N49" s="99"/>
      <c r="O49" s="65"/>
      <c r="P49" s="66"/>
      <c r="Q49" s="66"/>
      <c r="R49" s="66"/>
      <c r="S49" s="66"/>
      <c r="T49" s="66"/>
      <c r="U49" s="67"/>
      <c r="V49" s="1"/>
    </row>
    <row r="50" spans="1:22" ht="15.75" customHeight="1" thickBot="1" x14ac:dyDescent="0.25">
      <c r="A50" s="98" t="s">
        <v>23</v>
      </c>
      <c r="B50" s="107"/>
      <c r="C50" s="108"/>
      <c r="D50" s="108"/>
      <c r="E50" s="108"/>
      <c r="F50" s="108"/>
      <c r="G50" s="108"/>
      <c r="H50" s="108"/>
      <c r="I50" s="109"/>
      <c r="J50" s="44"/>
      <c r="K50" s="44"/>
      <c r="L50" s="1"/>
      <c r="M50" s="98" t="s">
        <v>23</v>
      </c>
      <c r="N50" s="107"/>
      <c r="O50" s="108"/>
      <c r="P50" s="108"/>
      <c r="Q50" s="108"/>
      <c r="R50" s="108"/>
      <c r="S50" s="108"/>
      <c r="T50" s="108"/>
      <c r="U50" s="109"/>
      <c r="V50" s="1"/>
    </row>
    <row r="51" spans="1:22" ht="15.75" customHeight="1" thickBot="1" x14ac:dyDescent="0.25">
      <c r="A51" s="98" t="s">
        <v>7</v>
      </c>
      <c r="B51" s="99"/>
      <c r="C51" s="60">
        <v>92.603769819293618</v>
      </c>
      <c r="D51" s="61">
        <v>91.431947068352812</v>
      </c>
      <c r="E51" s="61">
        <v>90.390795042999585</v>
      </c>
      <c r="F51" s="61">
        <v>86.789562828222273</v>
      </c>
      <c r="G51" s="61">
        <v>80.615554033052248</v>
      </c>
      <c r="H51" s="61">
        <v>56.609578553133908</v>
      </c>
      <c r="I51" s="62">
        <v>41.27928062292434</v>
      </c>
      <c r="J51" s="44"/>
      <c r="K51" s="44"/>
      <c r="L51" s="1" t="str">
        <f t="shared" ref="L51:L53" si="9">"    "&amp;_xlfn.TEXTJOIN(", ",TRUE,C51:I51)&amp;","</f>
        <v xml:space="preserve">    92.6037698192936, 91.4319470683528, 90.3907950429996, 86.7895628282223, 80.6155540330522, 56.6095785531339, 41.2792806229243,</v>
      </c>
      <c r="M51" s="98" t="s">
        <v>7</v>
      </c>
      <c r="N51" s="99"/>
      <c r="O51" s="60">
        <v>3.708759274801273</v>
      </c>
      <c r="P51" s="61">
        <v>3.9640390541215931</v>
      </c>
      <c r="Q51" s="61">
        <v>3.7067998106756881</v>
      </c>
      <c r="R51" s="61">
        <v>3.667452632531309</v>
      </c>
      <c r="S51" s="61">
        <v>5.7548227051500218</v>
      </c>
      <c r="T51" s="61">
        <v>8.5366536877555248</v>
      </c>
      <c r="U51" s="62">
        <v>6.3187793027043018</v>
      </c>
      <c r="V51" s="1" t="str">
        <f t="shared" ref="V51:V53" si="10">"    "&amp;_xlfn.TEXTJOIN(", ",TRUE,O51:U51)&amp;","</f>
        <v xml:space="preserve">    3.70875927480127, 3.96403905412159, 3.70679981067569, 3.66745263253131, 5.75482270515002, 8.53665368775552, 6.3187793027043,</v>
      </c>
    </row>
    <row r="52" spans="1:22" ht="15.75" customHeight="1" thickBot="1" x14ac:dyDescent="0.25">
      <c r="A52" s="100" t="s">
        <v>8</v>
      </c>
      <c r="B52" s="101"/>
      <c r="C52" s="63">
        <v>91.377634404932721</v>
      </c>
      <c r="D52" s="1">
        <v>90.405373333245066</v>
      </c>
      <c r="E52" s="1">
        <v>89.371480308332721</v>
      </c>
      <c r="F52" s="1">
        <v>87.60989862639515</v>
      </c>
      <c r="G52" s="1">
        <v>85.537230701510694</v>
      </c>
      <c r="H52" s="1">
        <v>70.930708745421484</v>
      </c>
      <c r="I52" s="64">
        <v>44.097326232806537</v>
      </c>
      <c r="J52" s="44"/>
      <c r="K52" s="44"/>
      <c r="L52" s="1" t="str">
        <f t="shared" si="9"/>
        <v xml:space="preserve">    91.3776344049327, 90.4053733332451, 89.3714803083327, 87.6098986263952, 85.5372307015107, 70.9307087454215, 44.0973262328065,</v>
      </c>
      <c r="M52" s="98" t="s">
        <v>8</v>
      </c>
      <c r="N52" s="99"/>
      <c r="O52" s="63">
        <v>3.5684194304484111</v>
      </c>
      <c r="P52" s="1">
        <v>3.0347581440341318</v>
      </c>
      <c r="Q52" s="1">
        <v>2.754130276526872</v>
      </c>
      <c r="R52" s="1">
        <v>2.7768782002466339</v>
      </c>
      <c r="S52" s="1">
        <v>3.3184641894178428</v>
      </c>
      <c r="T52" s="1">
        <v>4.9795199020249923</v>
      </c>
      <c r="U52" s="64">
        <v>2.9223071611371929</v>
      </c>
      <c r="V52" s="1" t="str">
        <f t="shared" si="10"/>
        <v xml:space="preserve">    3.56841943044841, 3.03475814403413, 2.75413027652687, 2.77687820024663, 3.31846418941784, 4.97951990202499, 2.92230716113719,</v>
      </c>
    </row>
    <row r="53" spans="1:22" ht="15.75" customHeight="1" thickBot="1" x14ac:dyDescent="0.25">
      <c r="A53" s="98" t="s">
        <v>21</v>
      </c>
      <c r="B53" s="99"/>
      <c r="C53" s="63">
        <v>92.603715202692385</v>
      </c>
      <c r="D53" s="1">
        <v>91.484997502720319</v>
      </c>
      <c r="E53" s="1">
        <v>90.630171299324857</v>
      </c>
      <c r="F53" s="1">
        <v>85.342034697064548</v>
      </c>
      <c r="G53" s="1">
        <v>78.208607944308184</v>
      </c>
      <c r="H53" s="1">
        <v>58.188767254712552</v>
      </c>
      <c r="I53" s="64">
        <v>45.468919562576168</v>
      </c>
      <c r="J53" s="44"/>
      <c r="K53" s="44"/>
      <c r="L53" s="1" t="str">
        <f t="shared" si="9"/>
        <v xml:space="preserve">    92.6037152026924, 91.4849975027203, 90.6301712993249, 85.3420346970645, 78.2086079443082, 58.1887672547126, 45.4689195625762,</v>
      </c>
      <c r="M53" s="98" t="s">
        <v>21</v>
      </c>
      <c r="N53" s="99"/>
      <c r="O53" s="63">
        <v>4.0727132923350373</v>
      </c>
      <c r="P53" s="1">
        <v>4.4231285957629458</v>
      </c>
      <c r="Q53" s="1">
        <v>4.3011534303531356</v>
      </c>
      <c r="R53" s="1">
        <v>4.8453894583465429</v>
      </c>
      <c r="S53" s="1">
        <v>7.5589700135942426</v>
      </c>
      <c r="T53" s="1">
        <v>10.3740336621021</v>
      </c>
      <c r="U53" s="64">
        <v>10.707618741543239</v>
      </c>
      <c r="V53" s="1" t="str">
        <f t="shared" si="10"/>
        <v xml:space="preserve">    4.07271329233504, 4.42312859576295, 4.30115343035314, 4.84538945834654, 7.55897001359424, 10.3740336621021, 10.7076187415432,</v>
      </c>
    </row>
    <row r="54" spans="1:22" ht="15.75" customHeight="1" thickBot="1" x14ac:dyDescent="0.25">
      <c r="A54" s="98" t="s">
        <v>22</v>
      </c>
      <c r="B54" s="99"/>
      <c r="C54" s="65"/>
      <c r="D54" s="66"/>
      <c r="E54" s="66"/>
      <c r="F54" s="66"/>
      <c r="G54" s="66"/>
      <c r="H54" s="66"/>
      <c r="I54" s="67"/>
      <c r="J54" s="44"/>
      <c r="K54" s="44"/>
      <c r="L54" s="1"/>
      <c r="M54" s="98" t="s">
        <v>22</v>
      </c>
      <c r="N54" s="99"/>
      <c r="O54" s="65"/>
      <c r="P54" s="66"/>
      <c r="Q54" s="66"/>
      <c r="R54" s="66"/>
      <c r="S54" s="66"/>
      <c r="T54" s="66"/>
      <c r="U54" s="67"/>
      <c r="V54" s="1"/>
    </row>
    <row r="55" spans="1:22" ht="15.75" customHeight="1" thickBot="1" x14ac:dyDescent="0.25">
      <c r="A55" s="98" t="s">
        <v>24</v>
      </c>
      <c r="B55" s="107"/>
      <c r="C55" s="108"/>
      <c r="D55" s="108"/>
      <c r="E55" s="108"/>
      <c r="F55" s="108"/>
      <c r="G55" s="108"/>
      <c r="H55" s="108"/>
      <c r="I55" s="109"/>
      <c r="J55" s="44"/>
      <c r="K55" s="44"/>
      <c r="L55" s="1"/>
      <c r="M55" s="98" t="s">
        <v>23</v>
      </c>
      <c r="N55" s="107"/>
      <c r="O55" s="108"/>
      <c r="P55" s="108"/>
      <c r="Q55" s="108"/>
      <c r="R55" s="108"/>
      <c r="S55" s="108"/>
      <c r="T55" s="108"/>
      <c r="U55" s="109"/>
      <c r="V55" s="1"/>
    </row>
    <row r="56" spans="1:22" ht="15.75" customHeight="1" thickBot="1" x14ac:dyDescent="0.25">
      <c r="A56" s="98" t="s">
        <v>7</v>
      </c>
      <c r="B56" s="99"/>
      <c r="C56">
        <v>92.331949706603581</v>
      </c>
      <c r="D56">
        <v>90.788055458144598</v>
      </c>
      <c r="E56">
        <v>90.424281694963014</v>
      </c>
      <c r="F56">
        <v>87.657631835350699</v>
      </c>
      <c r="G56">
        <v>82.413088603676925</v>
      </c>
      <c r="H56">
        <v>60.275828584147241</v>
      </c>
      <c r="I56">
        <v>42.838428313025517</v>
      </c>
      <c r="J56" s="44"/>
      <c r="K56" s="44"/>
      <c r="L56" s="1" t="str">
        <f t="shared" ref="L56:L58" si="11">"    "&amp;_xlfn.TEXTJOIN(", ",TRUE,C56:I56)&amp;","</f>
        <v xml:space="preserve">    92.3319497066036, 90.7880554581446, 90.424281694963, 87.6576318353507, 82.4130886036769, 60.2758285841472, 42.8384283130255,</v>
      </c>
      <c r="M56" s="98" t="s">
        <v>7</v>
      </c>
      <c r="N56" s="99"/>
      <c r="O56">
        <v>3.7810235401562768</v>
      </c>
      <c r="P56">
        <v>3.610745427801767</v>
      </c>
      <c r="Q56">
        <v>3.6319421257152249</v>
      </c>
      <c r="R56">
        <v>3.468713140298441</v>
      </c>
      <c r="S56">
        <v>5.1645865648549893</v>
      </c>
      <c r="T56">
        <v>9.2083309434320899</v>
      </c>
      <c r="U56">
        <v>6.8001571811797312</v>
      </c>
      <c r="V56" s="1" t="str">
        <f t="shared" ref="V56:V58" si="12">"    "&amp;_xlfn.TEXTJOIN(", ",TRUE,O56:U56)&amp;","</f>
        <v xml:space="preserve">    3.78102354015628, 3.61074542780177, 3.63194212571522, 3.46871314029844, 5.16458656485499, 9.20833094343209, 6.80015718117973,</v>
      </c>
    </row>
    <row r="57" spans="1:22" ht="15.75" customHeight="1" thickBot="1" x14ac:dyDescent="0.25">
      <c r="A57" s="100" t="s">
        <v>8</v>
      </c>
      <c r="B57" s="101"/>
      <c r="C57">
        <v>88.993366976652652</v>
      </c>
      <c r="D57">
        <v>87.428157448676032</v>
      </c>
      <c r="E57">
        <v>87.491367457892537</v>
      </c>
      <c r="F57">
        <v>87.036181848509671</v>
      </c>
      <c r="G57">
        <v>84.734260989341792</v>
      </c>
      <c r="H57">
        <v>69.323558886375409</v>
      </c>
      <c r="I57">
        <v>44.224261286068383</v>
      </c>
      <c r="J57" s="44"/>
      <c r="K57" s="44"/>
      <c r="L57" s="1" t="str">
        <f t="shared" si="11"/>
        <v xml:space="preserve">    88.9933669766527, 87.428157448676, 87.4913674578925, 87.0361818485097, 84.7342609893418, 69.3235588863754, 44.2242612860684,</v>
      </c>
      <c r="M57" s="98" t="s">
        <v>8</v>
      </c>
      <c r="N57" s="99"/>
      <c r="O57">
        <v>2.565679873764509</v>
      </c>
      <c r="P57">
        <v>2.352323010993262</v>
      </c>
      <c r="Q57">
        <v>2.474795319702475</v>
      </c>
      <c r="R57">
        <v>2.2135938860767999</v>
      </c>
      <c r="S57">
        <v>2.905191666743812</v>
      </c>
      <c r="T57">
        <v>4.0884722151131134</v>
      </c>
      <c r="U57">
        <v>3.2519858911505728</v>
      </c>
      <c r="V57" s="1" t="str">
        <f t="shared" si="12"/>
        <v xml:space="preserve">    2.56567987376451, 2.35232301099326, 2.47479531970248, 2.2135938860768, 2.90519166674381, 4.08847221511311, 3.25198589115057,</v>
      </c>
    </row>
    <row r="58" spans="1:22" ht="15.75" customHeight="1" thickBot="1" x14ac:dyDescent="0.25">
      <c r="A58" s="98" t="s">
        <v>21</v>
      </c>
      <c r="B58" s="99"/>
      <c r="C58">
        <v>93.055308133932627</v>
      </c>
      <c r="D58">
        <v>91.528943714001898</v>
      </c>
      <c r="E58">
        <v>89.882638987004555</v>
      </c>
      <c r="F58">
        <v>84.674810173177292</v>
      </c>
      <c r="G58">
        <v>75.916110561101704</v>
      </c>
      <c r="H58">
        <v>56.764200964537181</v>
      </c>
      <c r="I58">
        <v>44.299590031737637</v>
      </c>
      <c r="J58" s="44"/>
      <c r="K58" s="44"/>
      <c r="L58" s="1" t="str">
        <f t="shared" si="11"/>
        <v xml:space="preserve">    93.0553081339326, 91.5289437140019, 89.8826389870046, 84.6748101731773, 75.9161105611017, 56.7642009645372, 44.2995900317376,</v>
      </c>
      <c r="M58" s="98" t="s">
        <v>21</v>
      </c>
      <c r="N58" s="99"/>
      <c r="O58">
        <v>3.8419168644869521</v>
      </c>
      <c r="P58">
        <v>4.1300496687589057</v>
      </c>
      <c r="Q58">
        <v>4.9130914433578488</v>
      </c>
      <c r="R58">
        <v>5.461364324318545</v>
      </c>
      <c r="S58">
        <v>8.3897175895135803</v>
      </c>
      <c r="T58">
        <v>11.227211743834159</v>
      </c>
      <c r="U58">
        <v>9.9814657114806593</v>
      </c>
      <c r="V58" s="1" t="str">
        <f t="shared" si="12"/>
        <v xml:space="preserve">    3.84191686448695, 4.13004966875891, 4.91309144335785, 5.46136432431855, 8.38971758951358, 11.2272117438342, 9.98146571148066,</v>
      </c>
    </row>
    <row r="59" spans="1:22" ht="15.75" customHeight="1" thickBot="1" x14ac:dyDescent="0.25">
      <c r="A59" s="98" t="s">
        <v>22</v>
      </c>
      <c r="B59" s="99"/>
      <c r="C59" s="92"/>
      <c r="D59" s="93"/>
      <c r="E59" s="93"/>
      <c r="F59" s="93"/>
      <c r="G59" s="93"/>
      <c r="H59" s="93"/>
      <c r="I59" s="94"/>
      <c r="J59" s="44"/>
      <c r="K59" s="44"/>
      <c r="L59" s="1"/>
      <c r="M59" s="98" t="s">
        <v>22</v>
      </c>
      <c r="N59" s="99"/>
      <c r="O59" s="92"/>
      <c r="P59" s="93"/>
      <c r="Q59" s="93"/>
      <c r="R59" s="93"/>
      <c r="S59" s="93"/>
      <c r="T59" s="93"/>
      <c r="U59" s="94"/>
      <c r="V59" s="1"/>
    </row>
    <row r="60" spans="1:22" ht="15" x14ac:dyDescent="0.2"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</sheetData>
  <mergeCells count="80">
    <mergeCell ref="A2:B2"/>
    <mergeCell ref="M2:N2"/>
    <mergeCell ref="A32:B32"/>
    <mergeCell ref="M32:N32"/>
    <mergeCell ref="A3:B3"/>
    <mergeCell ref="M3:N3"/>
    <mergeCell ref="A16:B16"/>
    <mergeCell ref="A17:B17"/>
    <mergeCell ref="A4:B4"/>
    <mergeCell ref="M4:N4"/>
    <mergeCell ref="A5:I5"/>
    <mergeCell ref="M5:U5"/>
    <mergeCell ref="M20:U20"/>
    <mergeCell ref="A15:I15"/>
    <mergeCell ref="A25:I25"/>
    <mergeCell ref="A26:B26"/>
    <mergeCell ref="A48:B48"/>
    <mergeCell ref="A49:B49"/>
    <mergeCell ref="M48:N48"/>
    <mergeCell ref="M49:N49"/>
    <mergeCell ref="M16:N16"/>
    <mergeCell ref="M17:N17"/>
    <mergeCell ref="A46:B46"/>
    <mergeCell ref="A47:B47"/>
    <mergeCell ref="M46:N46"/>
    <mergeCell ref="M47:N47"/>
    <mergeCell ref="A33:B33"/>
    <mergeCell ref="M33:N33"/>
    <mergeCell ref="A34:B34"/>
    <mergeCell ref="M34:N34"/>
    <mergeCell ref="A35:I35"/>
    <mergeCell ref="A18:B18"/>
    <mergeCell ref="A45:I45"/>
    <mergeCell ref="M15:U15"/>
    <mergeCell ref="M45:U45"/>
    <mergeCell ref="A19:B19"/>
    <mergeCell ref="M18:N18"/>
    <mergeCell ref="M19:N19"/>
    <mergeCell ref="M35:U35"/>
    <mergeCell ref="A20:I20"/>
    <mergeCell ref="A21:B21"/>
    <mergeCell ref="A22:B22"/>
    <mergeCell ref="A23:B23"/>
    <mergeCell ref="A24:B24"/>
    <mergeCell ref="M21:N21"/>
    <mergeCell ref="M22:N22"/>
    <mergeCell ref="M23:N23"/>
    <mergeCell ref="M24:N24"/>
    <mergeCell ref="A54:B54"/>
    <mergeCell ref="M54:N54"/>
    <mergeCell ref="A50:I50"/>
    <mergeCell ref="M50:U50"/>
    <mergeCell ref="A51:B51"/>
    <mergeCell ref="M51:N51"/>
    <mergeCell ref="A52:B52"/>
    <mergeCell ref="M52:N52"/>
    <mergeCell ref="A6:A14"/>
    <mergeCell ref="M6:M14"/>
    <mergeCell ref="A36:A44"/>
    <mergeCell ref="M36:M44"/>
    <mergeCell ref="A55:I55"/>
    <mergeCell ref="M55:U55"/>
    <mergeCell ref="A27:B27"/>
    <mergeCell ref="A28:B28"/>
    <mergeCell ref="A29:B29"/>
    <mergeCell ref="M25:U25"/>
    <mergeCell ref="M26:N26"/>
    <mergeCell ref="M27:N27"/>
    <mergeCell ref="M28:N28"/>
    <mergeCell ref="M29:N29"/>
    <mergeCell ref="A53:B53"/>
    <mergeCell ref="M53:N53"/>
    <mergeCell ref="A59:B59"/>
    <mergeCell ref="M59:N59"/>
    <mergeCell ref="A56:B56"/>
    <mergeCell ref="M56:N56"/>
    <mergeCell ref="A57:B57"/>
    <mergeCell ref="M57:N57"/>
    <mergeCell ref="A58:B58"/>
    <mergeCell ref="M58:N58"/>
  </mergeCells>
  <phoneticPr fontId="1" type="noConversion"/>
  <conditionalFormatting sqref="C2:I4 C6:I14 C16:I19 C21:I24 C26:I2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4 C2:I4 C16:I19 C21:I24 C26:I2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7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9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I1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8 C2:I4 C8:I8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8 C2:I4">
    <cfRule type="colorScale" priority="1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9 C2:I4 C21:I24 C8:I8 C26:I29">
    <cfRule type="colorScale" priority="1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1:I23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I2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0:J59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29">
    <cfRule type="colorScale" priority="2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3:K4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9:K20 C2:K4 C16:K18 C21:K23 J5:K15 J24:K25 J29:K29 C26:K28"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0:K5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5:K5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0:K59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25A9-7BAB-4662-AC2A-B7F2DABCCE29}">
  <dimension ref="B1:G12"/>
  <sheetViews>
    <sheetView workbookViewId="0"/>
  </sheetViews>
  <sheetFormatPr defaultRowHeight="14.25" x14ac:dyDescent="0.2"/>
  <cols>
    <col min="7" max="7" width="17.5" customWidth="1"/>
  </cols>
  <sheetData>
    <row r="1" spans="2:7" ht="15" thickBot="1" x14ac:dyDescent="0.25"/>
    <row r="2" spans="2:7" ht="15" x14ac:dyDescent="0.25">
      <c r="B2" s="118" t="s">
        <v>35</v>
      </c>
      <c r="C2" s="124"/>
      <c r="D2" s="121" t="s">
        <v>31</v>
      </c>
      <c r="E2" s="122"/>
      <c r="F2" s="122"/>
      <c r="G2" s="123"/>
    </row>
    <row r="3" spans="2:7" ht="15.75" thickBot="1" x14ac:dyDescent="0.3">
      <c r="B3" s="120"/>
      <c r="C3" s="125"/>
      <c r="D3" s="83" t="s">
        <v>27</v>
      </c>
      <c r="E3" s="80" t="s">
        <v>28</v>
      </c>
      <c r="F3" s="80" t="s">
        <v>29</v>
      </c>
      <c r="G3" s="89" t="s">
        <v>33</v>
      </c>
    </row>
    <row r="4" spans="2:7" ht="15.75" thickBot="1" x14ac:dyDescent="0.3">
      <c r="B4" s="90" t="s">
        <v>34</v>
      </c>
      <c r="C4" s="91" t="s">
        <v>27</v>
      </c>
      <c r="D4" s="84">
        <v>79.040000000000006</v>
      </c>
      <c r="E4" s="85">
        <v>79</v>
      </c>
      <c r="F4" s="85">
        <v>81.27</v>
      </c>
      <c r="G4" s="86">
        <v>77.87</v>
      </c>
    </row>
    <row r="5" spans="2:7" x14ac:dyDescent="0.2">
      <c r="B5" s="25"/>
      <c r="C5" s="25"/>
      <c r="D5" s="25"/>
      <c r="E5" s="25"/>
      <c r="F5" s="25"/>
      <c r="G5" s="25"/>
    </row>
    <row r="6" spans="2:7" x14ac:dyDescent="0.2">
      <c r="B6" s="25"/>
      <c r="C6" s="25"/>
      <c r="D6" s="25"/>
      <c r="E6" s="25"/>
      <c r="F6" s="25"/>
      <c r="G6" s="25"/>
    </row>
    <row r="7" spans="2:7" ht="15" thickBot="1" x14ac:dyDescent="0.25">
      <c r="B7" s="25"/>
      <c r="C7" s="25"/>
      <c r="D7" s="25"/>
      <c r="E7" s="25"/>
      <c r="F7" s="25" t="s">
        <v>32</v>
      </c>
      <c r="G7" s="25"/>
    </row>
    <row r="8" spans="2:7" ht="15" x14ac:dyDescent="0.25">
      <c r="B8" s="118" t="s">
        <v>35</v>
      </c>
      <c r="C8" s="124"/>
      <c r="D8" s="121" t="s">
        <v>31</v>
      </c>
      <c r="E8" s="122"/>
      <c r="F8" s="122"/>
      <c r="G8" s="123"/>
    </row>
    <row r="9" spans="2:7" ht="15.75" thickBot="1" x14ac:dyDescent="0.3">
      <c r="B9" s="120"/>
      <c r="C9" s="125"/>
      <c r="D9" s="83" t="s">
        <v>27</v>
      </c>
      <c r="E9" s="80" t="s">
        <v>28</v>
      </c>
      <c r="F9" s="80" t="s">
        <v>29</v>
      </c>
      <c r="G9" s="89" t="s">
        <v>33</v>
      </c>
    </row>
    <row r="10" spans="2:7" ht="15" x14ac:dyDescent="0.25">
      <c r="B10" s="118" t="s">
        <v>30</v>
      </c>
      <c r="C10" s="76" t="s">
        <v>27</v>
      </c>
      <c r="D10" s="74">
        <v>79.040000000000006</v>
      </c>
      <c r="E10" s="75">
        <v>79</v>
      </c>
      <c r="F10" s="75">
        <v>81.27</v>
      </c>
      <c r="G10" s="87">
        <v>77.87</v>
      </c>
    </row>
    <row r="11" spans="2:7" ht="15" x14ac:dyDescent="0.25">
      <c r="B11" s="119"/>
      <c r="C11" s="78" t="s">
        <v>28</v>
      </c>
      <c r="D11" s="77">
        <v>80.12</v>
      </c>
      <c r="E11" s="25">
        <v>80.239999999999995</v>
      </c>
      <c r="F11" s="25">
        <v>80</v>
      </c>
      <c r="G11" s="79">
        <v>78.8</v>
      </c>
    </row>
    <row r="12" spans="2:7" ht="15.75" thickBot="1" x14ac:dyDescent="0.3">
      <c r="B12" s="120"/>
      <c r="C12" s="89" t="s">
        <v>29</v>
      </c>
      <c r="D12" s="88">
        <v>80.78</v>
      </c>
      <c r="E12" s="81">
        <v>78.06</v>
      </c>
      <c r="F12" s="81">
        <v>77.819999999999993</v>
      </c>
      <c r="G12" s="82">
        <v>78.39</v>
      </c>
    </row>
  </sheetData>
  <mergeCells count="5">
    <mergeCell ref="B10:B12"/>
    <mergeCell ref="D8:G8"/>
    <mergeCell ref="D2:G2"/>
    <mergeCell ref="B2:C3"/>
    <mergeCell ref="B8:C9"/>
  </mergeCells>
  <phoneticPr fontId="1" type="noConversion"/>
  <conditionalFormatting sqref="D4:G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:G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partialdata_20260429_spt_idx</vt:lpstr>
      <vt:lpstr>fullldata_20260524_spt_idx</vt:lpstr>
      <vt:lpstr>confusion_mtx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2026-05-24T19:41:35Z</dcterms:modified>
</cp:coreProperties>
</file>