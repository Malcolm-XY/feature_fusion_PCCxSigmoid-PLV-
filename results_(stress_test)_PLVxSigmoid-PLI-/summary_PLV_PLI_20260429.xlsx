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LVxSigmoid-PLI-\"/>
    </mc:Choice>
  </mc:AlternateContent>
  <xr:revisionPtr revIDLastSave="0" documentId="13_ncr:1_{61D03CC8-A44F-4B02-A333-E0C4FC55AFBE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6" i="5" l="1"/>
  <c r="L16" i="5"/>
  <c r="K16" i="5" a="1"/>
  <c r="K16" i="5" s="1"/>
  <c r="J16" i="5" a="1"/>
  <c r="J16" i="5" s="1"/>
  <c r="V15" i="5"/>
  <c r="L15" i="5"/>
  <c r="K15" i="5" a="1"/>
  <c r="K15" i="5" s="1"/>
  <c r="J15" i="5" a="1"/>
  <c r="J15" i="5" s="1"/>
  <c r="V14" i="5"/>
  <c r="L14" i="5"/>
  <c r="K14" i="5" a="1"/>
  <c r="K14" i="5" s="1"/>
  <c r="J14" i="5" a="1"/>
  <c r="J14" i="5" s="1"/>
  <c r="V13" i="5"/>
  <c r="L13" i="5"/>
  <c r="K13" i="5" a="1"/>
  <c r="K13" i="5" s="1"/>
  <c r="J13" i="5" a="1"/>
  <c r="J13" i="5" s="1"/>
  <c r="V33" i="5"/>
  <c r="L33" i="5"/>
  <c r="V32" i="5"/>
  <c r="L32" i="5"/>
  <c r="V31" i="5"/>
  <c r="L31" i="5"/>
  <c r="V30" i="5"/>
  <c r="L30" i="5"/>
  <c r="V33" i="8"/>
  <c r="L33" i="8"/>
  <c r="V32" i="8"/>
  <c r="L32" i="8"/>
  <c r="V31" i="8"/>
  <c r="L31" i="8"/>
  <c r="V30" i="8"/>
  <c r="L30" i="8"/>
  <c r="V16" i="8"/>
  <c r="L16" i="8"/>
  <c r="K16" i="8" a="1"/>
  <c r="K16" i="8" s="1"/>
  <c r="J16" i="8" a="1"/>
  <c r="J16" i="8" s="1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4" i="5"/>
  <c r="L4" i="5"/>
  <c r="K4" i="5" a="1"/>
  <c r="K4" i="5" s="1"/>
  <c r="J4" i="5" a="1"/>
  <c r="J4" i="5" s="1"/>
  <c r="V4" i="8"/>
  <c r="L4" i="8"/>
  <c r="K4" i="8" a="1"/>
  <c r="K4" i="8" s="1"/>
  <c r="J4" i="8" a="1"/>
  <c r="J4" i="8" s="1"/>
  <c r="V28" i="5"/>
  <c r="V27" i="5"/>
  <c r="V26" i="5"/>
  <c r="V25" i="5"/>
  <c r="V24" i="5"/>
  <c r="V22" i="5"/>
  <c r="V21" i="5"/>
  <c r="V20" i="5"/>
  <c r="V11" i="5"/>
  <c r="V10" i="5"/>
  <c r="V9" i="5"/>
  <c r="V8" i="5"/>
  <c r="V7" i="5"/>
  <c r="V5" i="5"/>
  <c r="V3" i="5"/>
  <c r="L28" i="5"/>
  <c r="L27" i="5"/>
  <c r="L26" i="5"/>
  <c r="L25" i="5"/>
  <c r="L24" i="5"/>
  <c r="L22" i="5"/>
  <c r="L21" i="5"/>
  <c r="L20" i="5"/>
  <c r="L11" i="5"/>
  <c r="L10" i="5"/>
  <c r="L9" i="5"/>
  <c r="L8" i="5"/>
  <c r="L7" i="5"/>
  <c r="L5" i="5"/>
  <c r="L3" i="5"/>
  <c r="V22" i="8"/>
  <c r="V24" i="8"/>
  <c r="V25" i="8"/>
  <c r="V26" i="8"/>
  <c r="V27" i="8"/>
  <c r="V28" i="8"/>
  <c r="V5" i="8"/>
  <c r="V7" i="8"/>
  <c r="V8" i="8"/>
  <c r="V9" i="8"/>
  <c r="V10" i="8"/>
  <c r="V11" i="8"/>
  <c r="L22" i="8"/>
  <c r="L24" i="8"/>
  <c r="L25" i="8"/>
  <c r="L26" i="8"/>
  <c r="L27" i="8"/>
  <c r="L28" i="8"/>
  <c r="L5" i="8"/>
  <c r="L7" i="8"/>
  <c r="L8" i="8"/>
  <c r="L9" i="8"/>
  <c r="L10" i="8"/>
  <c r="L11" i="8"/>
  <c r="V21" i="8"/>
  <c r="L21" i="8"/>
  <c r="V20" i="8"/>
  <c r="L20" i="8"/>
  <c r="K11" i="8" a="1"/>
  <c r="K11" i="8" s="1"/>
  <c r="J11" i="8" a="1"/>
  <c r="J11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5" i="8" a="1"/>
  <c r="K5" i="8" s="1"/>
  <c r="J5" i="8" a="1"/>
  <c r="J5" i="8" s="1"/>
  <c r="V3" i="8"/>
  <c r="L3" i="8"/>
  <c r="K3" i="8" a="1"/>
  <c r="K3" i="8" s="1"/>
  <c r="J3" i="8" a="1"/>
  <c r="J3" i="8" s="1"/>
  <c r="J5" i="5" a="1"/>
  <c r="J5" i="5" s="1"/>
  <c r="K5" i="5" a="1"/>
  <c r="K5" i="5" s="1"/>
  <c r="K7" i="5" a="1"/>
  <c r="K7" i="5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J3" i="5" a="1"/>
  <c r="J3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<sst xmlns="http://schemas.openxmlformats.org/spreadsheetml/2006/main" count="180" uniqueCount="23">
  <si>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</si>
  <si>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</si>
  <si>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</si>
  <si>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</si>
  <si>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</si>
  <si>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</si>
  <si>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</si>
  <si>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</si>
  <si>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</si>
  <si>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</si>
  <si>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</si>
  <si>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</si>
  <si>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</si>
  <si>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</si>
  <si>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</si>
  <si>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</si>
  <si>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</si>
  <si>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</si>
  <si>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</si>
  <si>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</si>
  <si>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</si>
  <si>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</si>
  <si>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PLI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</si>
</sst>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83"/>
      <c r="C2" s="83"/>
      <c r="D2" s="83"/>
      <c r="E2" s="83"/>
      <c r="F2" s="83"/>
      <c r="G2" s="83"/>
      <c r="H2" s="83"/>
      <c r="I2" s="78"/>
      <c r="J2" s="13"/>
      <c r="K2" s="13"/>
      <c r="L2" s="72"/>
      <c r="M2" s="77" t="s">
        <v>20</v>
      </c>
      <c r="N2" s="83"/>
      <c r="O2" s="83"/>
      <c r="P2" s="83"/>
      <c r="Q2" s="83"/>
      <c r="R2" s="83"/>
      <c r="S2" s="83"/>
      <c r="T2" s="83"/>
      <c r="U2" s="78"/>
      <c r="V2" s="72"/>
    </row>
    <row r="3" spans="1:22" ht="15.75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83"/>
      <c r="C6" s="83"/>
      <c r="D6" s="83"/>
      <c r="E6" s="83"/>
      <c r="F6" s="83"/>
      <c r="G6" s="83"/>
      <c r="H6" s="83"/>
      <c r="I6" s="78"/>
      <c r="J6" s="18"/>
      <c r="K6" s="18"/>
      <c r="L6" s="72"/>
      <c r="M6" s="77" t="s">
        <v>21</v>
      </c>
      <c r="N6" s="83"/>
      <c r="O6" s="83"/>
      <c r="P6" s="83"/>
      <c r="Q6" s="83"/>
      <c r="R6" s="83"/>
      <c r="S6" s="83"/>
      <c r="T6" s="83"/>
      <c r="U6" s="78"/>
      <c r="V6" s="72"/>
    </row>
    <row r="7" spans="1:22" ht="15.75" customHeight="1" thickBot="1" x14ac:dyDescent="0.25">
      <c r="A7" s="21" t="s">
        <v>13</v>
      </c>
      <c r="B7" s="19" t="s">
        <v>8</v>
      </c>
      <c r="C7" s="88">
        <v>92.652906455361489</v>
      </c>
      <c r="D7" s="88">
        <v>91.051130776794494</v>
      </c>
      <c r="E7" s="88">
        <v>90.851535624587299</v>
      </c>
      <c r="F7" s="88">
        <v>88.901781157276446</v>
      </c>
      <c r="G7" s="88">
        <v>86.24522126777336</v>
      </c>
      <c r="H7" s="88">
        <v>69.716684400384082</v>
      </c>
      <c r="I7" s="88">
        <v>48.278390528176438</v>
      </c>
      <c r="J7" s="18" cm="1">
        <f t="array" ref="J7">-SUMPRODUCT((D1:H1-C1:G1)*(C7:G7+D7:H7)/2)</f>
        <v>80.231615037038964</v>
      </c>
      <c r="K7" s="18" cm="1">
        <f t="array" ref="K7">-SUMPRODUCT((D1:I1-C1:H1)*(C7:H7+D7:I7)/2)</f>
        <v>83.181491910252973</v>
      </c>
      <c r="L7" s="72" t="str">
        <f>"    "&amp;_xlfn.TEXTJOIN(", ",TRUE,C7:I7)&amp;","</f>
        <v xml:space="preserve">    92.6529064553615, 91.0511307767945, 90.8515356245873, 88.9017811572764, 86.2452212677734, 69.7166844003841, 48.2783905281764,</v>
      </c>
      <c r="M7" s="21" t="s">
        <v>13</v>
      </c>
      <c r="N7" s="19" t="s">
        <v>8</v>
      </c>
      <c r="O7" s="89">
        <v>3.3785626043071009</v>
      </c>
      <c r="P7" s="89">
        <v>3.3224514411451711</v>
      </c>
      <c r="Q7" s="89">
        <v>3.0056371895596761</v>
      </c>
      <c r="R7" s="89">
        <v>2.8119234897461038</v>
      </c>
      <c r="S7" s="89">
        <v>2.6618261357142452</v>
      </c>
      <c r="T7" s="89">
        <v>5.8167528198754948</v>
      </c>
      <c r="U7" s="89">
        <v>5.882396149890587</v>
      </c>
      <c r="V7" s="72" t="str">
        <f t="shared" si="1"/>
        <v xml:space="preserve">    3.3785626043071, 3.32245144114517, 3.00563718955968, 2.8119234897461, 2.66182613571425, 5.81675281987549, 5.88239614989059,</v>
      </c>
    </row>
    <row r="8" spans="1:22" ht="15.75" customHeight="1" thickBot="1" x14ac:dyDescent="0.25">
      <c r="A8" s="21" t="s">
        <v>14</v>
      </c>
      <c r="B8" s="19" t="s">
        <v>8</v>
      </c>
      <c r="C8" s="92">
        <v>91.885939036381544</v>
      </c>
      <c r="D8" s="92">
        <v>91.013765978367758</v>
      </c>
      <c r="E8" s="92">
        <v>90.609636184857422</v>
      </c>
      <c r="F8" s="92">
        <v>89.149459193707017</v>
      </c>
      <c r="G8" s="92">
        <v>85.954898687128207</v>
      </c>
      <c r="H8" s="92">
        <v>70.963889537683428</v>
      </c>
      <c r="I8" s="92">
        <v>47.933946948791373</v>
      </c>
      <c r="J8" s="18" cm="1">
        <f t="array" ref="J8">-SUMPRODUCT((D1:H1-C1:G1)*(C8:G8+D8:H8)/2)</f>
        <v>80.142455240385601</v>
      </c>
      <c r="K8" s="18" cm="1">
        <f t="array" ref="K8">-SUMPRODUCT((D1:I1-C1:H1)*(C8:H8+D8:I8)/2)</f>
        <v>83.114901152547475</v>
      </c>
      <c r="L8" s="72" t="str">
        <f>"    "&amp;_xlfn.TEXTJOIN(", ",TRUE,C8:I8)&amp;","</f>
        <v xml:space="preserve">    91.8859390363815, 91.0137659783678, 90.6096361848574, 89.149459193707, 85.9548986871282, 70.9638895376834, 47.9339469487914,</v>
      </c>
      <c r="M8" s="21" t="s">
        <v>14</v>
      </c>
      <c r="N8" s="19" t="s">
        <v>8</v>
      </c>
      <c r="O8" s="93">
        <v>3.3364117087200289</v>
      </c>
      <c r="P8" s="93">
        <v>2.936770236935732</v>
      </c>
      <c r="Q8" s="93">
        <v>2.842545114696069</v>
      </c>
      <c r="R8" s="93">
        <v>2.698484522464268</v>
      </c>
      <c r="S8" s="93">
        <v>3.8419481383588741</v>
      </c>
      <c r="T8" s="93">
        <v>4.8998624781321176</v>
      </c>
      <c r="U8" s="93">
        <v>5.0873151853764416</v>
      </c>
      <c r="V8" s="72" t="str">
        <f t="shared" si="1"/>
        <v xml:space="preserve">    3.33641170872003, 2.93677023693573, 2.84254511469607, 2.69848452246427, 3.84194813835887, 4.89986247813212, 5.08731518537644,</v>
      </c>
    </row>
    <row r="9" spans="1:22" ht="15.75" customHeight="1" thickBot="1" x14ac:dyDescent="0.25">
      <c r="A9" s="21" t="s">
        <v>15</v>
      </c>
      <c r="B9" s="19" t="s">
        <v>8</v>
      </c>
      <c r="C9" s="96">
        <v>91.525073746312685</v>
      </c>
      <c r="D9" s="96">
        <v>90.448377581120937</v>
      </c>
      <c r="E9" s="96">
        <v>90.236983018884246</v>
      </c>
      <c r="F9" s="96">
        <v>88.97745943592362</v>
      </c>
      <c r="G9" s="96">
        <v>87.016214096431057</v>
      </c>
      <c r="H9" s="96">
        <v>72.285893476587177</v>
      </c>
      <c r="I9" s="96">
        <v>48.954065346586049</v>
      </c>
      <c r="J9" s="18" cm="1">
        <f t="array" ref="J9">-SUMPRODUCT((D1:H1-C1:G1)*(C9:G9+D9:H9)/2)</f>
        <v>80.018584791679288</v>
      </c>
      <c r="K9" s="18" cm="1">
        <f t="array" ref="K9">-SUMPRODUCT((D1:I1-C1:H1)*(C9:H9+D9:I9)/2)</f>
        <v>83.049583762258621</v>
      </c>
      <c r="L9" s="72" t="str">
        <f>"    "&amp;_xlfn.TEXTJOIN(", ",TRUE,C9:I9)&amp;","</f>
        <v xml:space="preserve">    91.5250737463127, 90.4483775811209, 90.2369830188842, 88.9774594359236, 87.0162140964311, 72.2858934765872, 48.954065346586,</v>
      </c>
      <c r="M9" s="21" t="s">
        <v>15</v>
      </c>
      <c r="N9" s="19" t="s">
        <v>8</v>
      </c>
      <c r="O9" s="97">
        <v>3.0126756670787902</v>
      </c>
      <c r="P9" s="97">
        <v>2.942728861624115</v>
      </c>
      <c r="Q9" s="97">
        <v>2.8073326484875638</v>
      </c>
      <c r="R9" s="97">
        <v>2.7065637276930952</v>
      </c>
      <c r="S9" s="97">
        <v>3.1284050215089771</v>
      </c>
      <c r="T9" s="97">
        <v>3.6299171341234349</v>
      </c>
      <c r="U9" s="97">
        <v>4.921825513087656</v>
      </c>
      <c r="V9" s="72" t="str">
        <f t="shared" si="1"/>
        <v xml:space="preserve">    3.01267566707879, 2.94272886162411, 2.80733264848756, 2.7065637276931, 3.12840502150898, 3.62991713412343, 4.92182551308766,</v>
      </c>
    </row>
    <row r="10" spans="1:22" ht="15.75" customHeight="1" thickBot="1" x14ac:dyDescent="0.25">
      <c r="A10" s="21" t="s">
        <v>16</v>
      </c>
      <c r="B10" s="19" t="s">
        <v>8</v>
      </c>
      <c r="C10" s="100">
        <v>91.304823859491293</v>
      </c>
      <c r="D10" s="100">
        <v>91.301874006983908</v>
      </c>
      <c r="E10" s="100">
        <v>90.397344844390233</v>
      </c>
      <c r="F10" s="100">
        <v>89.729614154678359</v>
      </c>
      <c r="G10" s="100">
        <v>87.6932960781091</v>
      </c>
      <c r="H10" s="100">
        <v>74.000294120191356</v>
      </c>
      <c r="I10" s="100">
        <v>47.948142573320993</v>
      </c>
      <c r="J10" s="18" cm="1">
        <f t="array" ref="J10">-SUMPRODUCT((D1:H1-C1:G1)*(C10:G10+D10:H10)/2)</f>
        <v>80.506760511192425</v>
      </c>
      <c r="K10" s="18" cm="1">
        <f t="array" ref="K10">-SUMPRODUCT((D1:I1-C1:H1)*(C10:H10+D10:I10)/2)</f>
        <v>83.55547142853024</v>
      </c>
      <c r="L10" s="72" t="str">
        <f>"    "&amp;_xlfn.TEXTJOIN(", ",TRUE,C10:I10)&amp;","</f>
        <v xml:space="preserve">    91.3048238594913, 91.3018740069839, 90.3973448443902, 89.7296141546784, 87.6932960781091, 74.0002941201914, 47.948142573321,</v>
      </c>
      <c r="M10" s="21" t="s">
        <v>16</v>
      </c>
      <c r="N10" s="19" t="s">
        <v>8</v>
      </c>
      <c r="O10" s="101">
        <v>3.0434295582312871</v>
      </c>
      <c r="P10" s="101">
        <v>2.9427259250267142</v>
      </c>
      <c r="Q10" s="101">
        <v>2.8836599725262708</v>
      </c>
      <c r="R10" s="101">
        <v>2.6062976232889818</v>
      </c>
      <c r="S10" s="101">
        <v>2.6228102346383082</v>
      </c>
      <c r="T10" s="101">
        <v>4.3948956674158</v>
      </c>
      <c r="U10" s="101">
        <v>5.3790577995188276</v>
      </c>
      <c r="V10" s="72" t="str">
        <f t="shared" si="1"/>
        <v xml:space="preserve">    3.04342955823129, 2.94272592502671, 2.88365997252627, 2.60629762328898, 2.62281023463831, 4.3948956674158, 5.37905779951883,</v>
      </c>
    </row>
    <row r="11" spans="1:22" ht="15.75" customHeight="1" thickBot="1" x14ac:dyDescent="0.25">
      <c r="A11" s="4" t="s">
        <v>17</v>
      </c>
      <c r="B11" s="19" t="s">
        <v>8</v>
      </c>
      <c r="C11" s="104">
        <v>90.975423662834444</v>
      </c>
      <c r="D11" s="104">
        <v>90.202556538839715</v>
      </c>
      <c r="E11" s="104">
        <v>90.170108161258611</v>
      </c>
      <c r="F11" s="104">
        <v>88.70908052837828</v>
      </c>
      <c r="G11" s="104">
        <v>86.950939598670132</v>
      </c>
      <c r="H11" s="104">
        <v>75.792829811099864</v>
      </c>
      <c r="I11" s="104">
        <v>48.150537634408593</v>
      </c>
      <c r="J11" s="18" cm="1">
        <f t="array" ref="J11">-SUMPRODUCT((D1:H1-C1:G1)*(C11:G11+D11:H11)/2)</f>
        <v>80.001938958526168</v>
      </c>
      <c r="K11" s="18" cm="1">
        <f t="array" ref="K11">-SUMPRODUCT((D1:I1-C1:H1)*(C11:H11+D11:I11)/2)</f>
        <v>83.100523144663882</v>
      </c>
      <c r="L11" s="72" t="str">
        <f>"    "&amp;_xlfn.TEXTJOIN(", ",TRUE,C11:I11)&amp;","</f>
        <v xml:space="preserve">    90.9754236628344, 90.2025565388397, 90.1701081612586, 88.7090805283783, 86.9509395986701, 75.7928298110999, 48.1505376344086,</v>
      </c>
      <c r="M11" s="4" t="s">
        <v>17</v>
      </c>
      <c r="N11" s="19" t="s">
        <v>8</v>
      </c>
      <c r="O11" s="105">
        <v>3.3313581707075852</v>
      </c>
      <c r="P11" s="105">
        <v>2.8735231153997312</v>
      </c>
      <c r="Q11" s="105">
        <v>2.9020080993283321</v>
      </c>
      <c r="R11" s="105">
        <v>2.6230573417030318</v>
      </c>
      <c r="S11" s="105">
        <v>3.0561479691174078</v>
      </c>
      <c r="T11" s="105">
        <v>3.639426101786353</v>
      </c>
      <c r="U11" s="105">
        <v>2.9250848924264208</v>
      </c>
      <c r="V11" s="72" t="str">
        <f t="shared" si="1"/>
        <v xml:space="preserve">    3.33135817070759, 2.87352311539973, 2.90200809932833, 2.62305734170303, 3.05614796911741, 3.63942610178635, 2.92508489242642,</v>
      </c>
    </row>
    <row r="12" spans="1:22" ht="15.75" customHeight="1" thickBot="1" x14ac:dyDescent="0.25">
      <c r="A12" s="77" t="s">
        <v>22</v>
      </c>
      <c r="B12" s="83"/>
      <c r="C12" s="84"/>
      <c r="D12" s="84"/>
      <c r="E12" s="84"/>
      <c r="F12" s="84"/>
      <c r="G12" s="84"/>
      <c r="H12" s="84"/>
      <c r="I12" s="82"/>
      <c r="J12" s="18"/>
      <c r="K12" s="18"/>
      <c r="L12" s="72"/>
      <c r="M12" s="77" t="s">
        <v>22</v>
      </c>
      <c r="N12" s="83"/>
      <c r="O12" s="84"/>
      <c r="P12" s="84"/>
      <c r="Q12" s="84"/>
      <c r="R12" s="84"/>
      <c r="S12" s="84"/>
      <c r="T12" s="84"/>
      <c r="U12" s="82"/>
      <c r="V12" s="72"/>
    </row>
    <row r="13" spans="1:22" ht="15.75" customHeight="1" thickBot="1" x14ac:dyDescent="0.25">
      <c r="A13" s="77" t="s">
        <v>9</v>
      </c>
      <c r="B13" s="78"/>
      <c r="C13" s="52"/>
      <c r="D13" s="53"/>
      <c r="E13" s="53"/>
      <c r="F13" s="53"/>
      <c r="G13" s="53"/>
      <c r="H13" s="53"/>
      <c r="I13" s="54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72" t="str">
        <f>"    "&amp;_xlfn.TEXTJOIN(", ",TRUE,C13:I13)&amp;","</f>
        <v xml:space="preserve">    ,</v>
      </c>
      <c r="M13" s="77" t="s">
        <v>9</v>
      </c>
      <c r="N13" s="78"/>
      <c r="O13" s="52"/>
      <c r="P13" s="53"/>
      <c r="Q13" s="53"/>
      <c r="R13" s="53"/>
      <c r="S13" s="53"/>
      <c r="T13" s="53"/>
      <c r="U13" s="54"/>
      <c r="V13" s="72" t="str">
        <f t="shared" ref="V13:V16" si="2">"    "&amp;_xlfn.TEXTJOIN(", ",TRUE,O13:U13)&amp;","</f>
        <v xml:space="preserve">    ,</v>
      </c>
    </row>
    <row r="14" spans="1:22" ht="15.75" customHeight="1" thickBot="1" x14ac:dyDescent="0.25">
      <c r="A14" s="81" t="s">
        <v>10</v>
      </c>
      <c r="B14" s="82"/>
      <c r="C14" s="55"/>
      <c r="D14" s="56"/>
      <c r="E14" s="56"/>
      <c r="F14" s="56"/>
      <c r="G14" s="56"/>
      <c r="H14" s="56"/>
      <c r="I14" s="57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72" t="str">
        <f>"    "&amp;_xlfn.TEXTJOIN(", ",TRUE,C14:I14)&amp;","</f>
        <v xml:space="preserve">    ,</v>
      </c>
      <c r="M14" s="77" t="s">
        <v>10</v>
      </c>
      <c r="N14" s="78"/>
      <c r="O14" s="55"/>
      <c r="P14" s="56"/>
      <c r="Q14" s="56"/>
      <c r="R14" s="56"/>
      <c r="S14" s="56"/>
      <c r="T14" s="56"/>
      <c r="U14" s="57"/>
      <c r="V14" s="72" t="str">
        <f t="shared" si="2"/>
        <v xml:space="preserve">    ,</v>
      </c>
    </row>
    <row r="15" spans="1:22" ht="15.75" customHeight="1" thickBot="1" x14ac:dyDescent="0.25">
      <c r="A15" s="77" t="s">
        <v>18</v>
      </c>
      <c r="B15" s="78"/>
      <c r="C15" s="55"/>
      <c r="D15" s="56"/>
      <c r="E15" s="56"/>
      <c r="F15" s="56"/>
      <c r="G15" s="56"/>
      <c r="H15" s="56"/>
      <c r="I15" s="57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72" t="str">
        <f>"    "&amp;_xlfn.TEXTJOIN(", ",TRUE,C15:I15)&amp;","</f>
        <v xml:space="preserve">    ,</v>
      </c>
      <c r="M15" s="77" t="s">
        <v>18</v>
      </c>
      <c r="N15" s="78"/>
      <c r="O15" s="55"/>
      <c r="P15" s="56"/>
      <c r="Q15" s="56"/>
      <c r="R15" s="56"/>
      <c r="S15" s="56"/>
      <c r="T15" s="56"/>
      <c r="U15" s="57"/>
      <c r="V15" s="72" t="str">
        <f t="shared" si="2"/>
        <v xml:space="preserve">    ,</v>
      </c>
    </row>
    <row r="16" spans="1:22" ht="15.75" customHeight="1" thickBot="1" x14ac:dyDescent="0.25">
      <c r="A16" s="77" t="s">
        <v>19</v>
      </c>
      <c r="B16" s="78"/>
      <c r="C16" s="58"/>
      <c r="D16" s="59"/>
      <c r="E16" s="59"/>
      <c r="F16" s="59"/>
      <c r="G16" s="59"/>
      <c r="H16" s="59"/>
      <c r="I16" s="60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72" t="str">
        <f>"    "&amp;_xlfn.TEXTJOIN(", ",TRUE,C16:I16)&amp;","</f>
        <v xml:space="preserve">    ,</v>
      </c>
      <c r="M16" s="77" t="s">
        <v>19</v>
      </c>
      <c r="N16" s="78"/>
      <c r="O16" s="58"/>
      <c r="P16" s="59"/>
      <c r="Q16" s="59"/>
      <c r="R16" s="59"/>
      <c r="S16" s="59"/>
      <c r="T16" s="59"/>
      <c r="U16" s="60"/>
      <c r="V16" s="72" t="str">
        <f t="shared" si="2"/>
        <v xml:space="preserve">    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79" t="s">
        <v>20</v>
      </c>
      <c r="B19" s="85"/>
      <c r="C19" s="85"/>
      <c r="D19" s="85"/>
      <c r="E19" s="85"/>
      <c r="F19" s="85"/>
      <c r="G19" s="85"/>
      <c r="H19" s="85"/>
      <c r="I19" s="80"/>
      <c r="J19" s="14"/>
      <c r="K19" s="14"/>
      <c r="L19" s="74"/>
      <c r="M19" s="79" t="s">
        <v>20</v>
      </c>
      <c r="N19" s="85"/>
      <c r="O19" s="85"/>
      <c r="P19" s="85"/>
      <c r="Q19" s="85"/>
      <c r="R19" s="85"/>
      <c r="S19" s="85"/>
      <c r="T19" s="85"/>
      <c r="U19" s="80"/>
      <c r="V19" s="74"/>
    </row>
    <row r="20" spans="1:22" ht="15.75" thickBot="1" x14ac:dyDescent="0.25">
      <c r="A20" s="79" t="s">
        <v>6</v>
      </c>
      <c r="B20" s="80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0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0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0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28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0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0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5"/>
      <c r="C23" s="85"/>
      <c r="D23" s="85"/>
      <c r="E23" s="85"/>
      <c r="F23" s="85"/>
      <c r="G23" s="85"/>
      <c r="H23" s="85"/>
      <c r="I23" s="80"/>
      <c r="J23" s="24"/>
      <c r="K23" s="24"/>
      <c r="L23" s="74"/>
      <c r="M23" s="79" t="s">
        <v>21</v>
      </c>
      <c r="N23" s="85"/>
      <c r="O23" s="85"/>
      <c r="P23" s="85"/>
      <c r="Q23" s="85"/>
      <c r="R23" s="85"/>
      <c r="S23" s="85"/>
      <c r="T23" s="85"/>
      <c r="U23" s="80"/>
      <c r="V23" s="74"/>
    </row>
    <row r="24" spans="1:22" ht="15.75" thickBot="1" x14ac:dyDescent="0.25">
      <c r="A24" s="28" t="s">
        <v>13</v>
      </c>
      <c r="B24" s="20" t="s">
        <v>8</v>
      </c>
      <c r="C24" s="90">
        <v>92.314141428010757</v>
      </c>
      <c r="D24" s="90">
        <v>90.729837258196284</v>
      </c>
      <c r="E24" s="90">
        <v>90.558995098822436</v>
      </c>
      <c r="F24" s="90">
        <v>88.520933682324312</v>
      </c>
      <c r="G24" s="90">
        <v>85.918718837425914</v>
      </c>
      <c r="H24" s="90">
        <v>69.249117531909093</v>
      </c>
      <c r="I24" s="90">
        <v>46.177304274181758</v>
      </c>
      <c r="J24" s="24"/>
      <c r="K24" s="24"/>
      <c r="L24" s="74" t="str">
        <f t="shared" si="4"/>
        <v xml:space="preserve">    92.3141414280108, 90.7298372581963, 90.5589950988224, 88.5209336823243, 85.9187188374259, 69.2491175319091, 46.1773042741818,</v>
      </c>
      <c r="M24" s="28" t="s">
        <v>13</v>
      </c>
      <c r="N24" s="20" t="s">
        <v>8</v>
      </c>
      <c r="O24" s="91">
        <v>3.70274752658537</v>
      </c>
      <c r="P24" s="91">
        <v>3.5093339221454638</v>
      </c>
      <c r="Q24" s="91">
        <v>3.2633581759105228</v>
      </c>
      <c r="R24" s="91">
        <v>2.9746304051921211</v>
      </c>
      <c r="S24" s="91">
        <v>2.679291242215343</v>
      </c>
      <c r="T24" s="91">
        <v>6.1068809187154018</v>
      </c>
      <c r="U24" s="91">
        <v>6.6372430853092759</v>
      </c>
      <c r="V24" s="74" t="str">
        <f t="shared" si="3"/>
        <v xml:space="preserve">    3.70274752658537, 3.50933392214546, 3.26335817591052, 2.97463040519212, 2.67929124221534, 6.1068809187154, 6.63724308530928,</v>
      </c>
    </row>
    <row r="25" spans="1:22" ht="15.75" thickBot="1" x14ac:dyDescent="0.25">
      <c r="A25" s="28" t="s">
        <v>14</v>
      </c>
      <c r="B25" s="20" t="s">
        <v>8</v>
      </c>
      <c r="C25" s="94">
        <v>91.499449151405614</v>
      </c>
      <c r="D25" s="94">
        <v>90.609853929524661</v>
      </c>
      <c r="E25" s="94">
        <v>90.251383379576993</v>
      </c>
      <c r="F25" s="94">
        <v>88.785838750130196</v>
      </c>
      <c r="G25" s="94">
        <v>85.661226780044743</v>
      </c>
      <c r="H25" s="94">
        <v>70.648743719405019</v>
      </c>
      <c r="I25" s="94">
        <v>45.796734883933553</v>
      </c>
      <c r="J25" s="24"/>
      <c r="K25" s="24"/>
      <c r="L25" s="74" t="str">
        <f t="shared" si="4"/>
        <v xml:space="preserve">    91.4994491514056, 90.6098539295247, 90.251383379577, 88.7858387501302, 85.6612267800447, 70.648743719405, 45.7967348839336,</v>
      </c>
      <c r="M25" s="28" t="s">
        <v>14</v>
      </c>
      <c r="N25" s="20" t="s">
        <v>8</v>
      </c>
      <c r="O25" s="95">
        <v>3.6730649631005461</v>
      </c>
      <c r="P25" s="95">
        <v>3.2632628834059179</v>
      </c>
      <c r="Q25" s="95">
        <v>3.087428445617812</v>
      </c>
      <c r="R25" s="95">
        <v>2.800080267718573</v>
      </c>
      <c r="S25" s="95">
        <v>4.0883851890823371</v>
      </c>
      <c r="T25" s="95">
        <v>4.9895087720713649</v>
      </c>
      <c r="U25" s="95">
        <v>5.8899946649456503</v>
      </c>
      <c r="V25" s="74" t="str">
        <f t="shared" si="3"/>
        <v xml:space="preserve">    3.67306496310055, 3.26326288340592, 3.08742844561781, 2.80008026771857, 4.08838518908234, 4.98950877207136, 5.88999466494565,</v>
      </c>
    </row>
    <row r="26" spans="1:22" ht="15.75" thickBot="1" x14ac:dyDescent="0.25">
      <c r="A26" s="28" t="s">
        <v>15</v>
      </c>
      <c r="B26" s="20" t="s">
        <v>8</v>
      </c>
      <c r="C26" s="98">
        <v>91.11974694423516</v>
      </c>
      <c r="D26" s="98">
        <v>90.14643142923461</v>
      </c>
      <c r="E26" s="98">
        <v>89.999058006171879</v>
      </c>
      <c r="F26" s="98">
        <v>88.707636236997814</v>
      </c>
      <c r="G26" s="98">
        <v>86.727602762684143</v>
      </c>
      <c r="H26" s="98">
        <v>71.927931223391155</v>
      </c>
      <c r="I26" s="98">
        <v>47.439271516525203</v>
      </c>
      <c r="J26" s="24"/>
      <c r="K26" s="24"/>
      <c r="L26" s="74" t="str">
        <f t="shared" si="4"/>
        <v xml:space="preserve">    91.1197469442352, 90.1464314292346, 89.9990580061719, 88.7076362369978, 86.7276027626841, 71.9279312233912, 47.4392715165252,</v>
      </c>
      <c r="M26" s="28" t="s">
        <v>15</v>
      </c>
      <c r="N26" s="20" t="s">
        <v>8</v>
      </c>
      <c r="O26" s="99">
        <v>3.277688380764884</v>
      </c>
      <c r="P26" s="99">
        <v>3.0731972147758242</v>
      </c>
      <c r="Q26" s="99">
        <v>2.9469584718729331</v>
      </c>
      <c r="R26" s="99">
        <v>2.7880999220291849</v>
      </c>
      <c r="S26" s="99">
        <v>3.1212500721105361</v>
      </c>
      <c r="T26" s="99">
        <v>3.732039475459219</v>
      </c>
      <c r="U26" s="99">
        <v>5.0591407155625632</v>
      </c>
      <c r="V26" s="74" t="str">
        <f t="shared" si="3"/>
        <v xml:space="preserve">    3.27768838076488, 3.07319721477582, 2.94695847187293, 2.78809992202918, 3.12125007211054, 3.73203947545922, 5.05914071556256,</v>
      </c>
    </row>
    <row r="27" spans="1:22" ht="15.75" thickBot="1" x14ac:dyDescent="0.25">
      <c r="A27" s="28" t="s">
        <v>16</v>
      </c>
      <c r="B27" s="20" t="s">
        <v>8</v>
      </c>
      <c r="C27" s="102">
        <v>90.888565251371773</v>
      </c>
      <c r="D27" s="102">
        <v>90.948166516562949</v>
      </c>
      <c r="E27" s="102">
        <v>90.004280005902189</v>
      </c>
      <c r="F27" s="102">
        <v>89.441961767444823</v>
      </c>
      <c r="G27" s="102">
        <v>87.411343533282562</v>
      </c>
      <c r="H27" s="102">
        <v>73.756587742781932</v>
      </c>
      <c r="I27" s="102">
        <v>46.506485829897933</v>
      </c>
      <c r="J27" s="24"/>
      <c r="K27" s="24"/>
      <c r="L27" s="74" t="str">
        <f t="shared" si="4"/>
        <v xml:space="preserve">    90.8885652513718, 90.9481665165629, 90.0042800059022, 89.4419617674448, 87.4113435332826, 73.7565877427819, 46.5064858298979,</v>
      </c>
      <c r="M27" s="28" t="s">
        <v>16</v>
      </c>
      <c r="N27" s="20" t="s">
        <v>8</v>
      </c>
      <c r="O27" s="103">
        <v>3.289141252621965</v>
      </c>
      <c r="P27" s="103">
        <v>3.1374848261578521</v>
      </c>
      <c r="Q27" s="103">
        <v>3.1193133149179082</v>
      </c>
      <c r="R27" s="103">
        <v>2.7348200607356028</v>
      </c>
      <c r="S27" s="103">
        <v>2.688176472532525</v>
      </c>
      <c r="T27" s="103">
        <v>4.4461115929774806</v>
      </c>
      <c r="U27" s="103">
        <v>5.564153336203927</v>
      </c>
      <c r="V27" s="74" t="str">
        <f t="shared" si="3"/>
        <v xml:space="preserve">    3.28914125262196, 3.13748482615785, 3.11931331491791, 2.7348200607356, 2.68817647253253, 4.44611159297748, 5.56415333620393,</v>
      </c>
    </row>
    <row r="28" spans="1:22" ht="15.75" thickBot="1" x14ac:dyDescent="0.25">
      <c r="A28" s="29" t="s">
        <v>17</v>
      </c>
      <c r="B28" s="20" t="s">
        <v>8</v>
      </c>
      <c r="C28" s="106">
        <v>90.557937802976383</v>
      </c>
      <c r="D28" s="106">
        <v>89.886230037289053</v>
      </c>
      <c r="E28" s="106">
        <v>89.784544221380457</v>
      </c>
      <c r="F28" s="106">
        <v>88.385012329947799</v>
      </c>
      <c r="G28" s="106">
        <v>86.648926570357631</v>
      </c>
      <c r="H28" s="106">
        <v>75.600385397228763</v>
      </c>
      <c r="I28" s="106">
        <v>46.810733956645073</v>
      </c>
      <c r="J28" s="24"/>
      <c r="K28" s="24"/>
      <c r="L28" s="74" t="str">
        <f t="shared" si="4"/>
        <v xml:space="preserve">    90.5579378029764, 89.8862300372891, 89.7845442213805, 88.3850123299478, 86.6489265703576, 75.6003853972288, 46.8107339566451,</v>
      </c>
      <c r="M28" s="29" t="s">
        <v>17</v>
      </c>
      <c r="N28" s="20" t="s">
        <v>8</v>
      </c>
      <c r="O28" s="107">
        <v>3.5359425091643861</v>
      </c>
      <c r="P28" s="107">
        <v>2.9479688908817572</v>
      </c>
      <c r="Q28" s="107">
        <v>3.0863691442002841</v>
      </c>
      <c r="R28" s="107">
        <v>2.7063960445241841</v>
      </c>
      <c r="S28" s="107">
        <v>3.1149226793442399</v>
      </c>
      <c r="T28" s="107">
        <v>3.6181303084227601</v>
      </c>
      <c r="U28" s="107">
        <v>2.9939108090159601</v>
      </c>
      <c r="V28" s="74" t="str">
        <f t="shared" si="3"/>
        <v xml:space="preserve">    3.53594250916439, 2.94796889088176, 3.08636914420028, 2.70639604452418, 3.11492267934424, 3.61813030842276, 2.99391080901596,</v>
      </c>
    </row>
    <row r="29" spans="1:22" ht="15.75" thickBot="1" x14ac:dyDescent="0.25">
      <c r="A29" s="79" t="s">
        <v>22</v>
      </c>
      <c r="B29" s="85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79" t="s">
        <v>22</v>
      </c>
      <c r="N29" s="85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79" t="s">
        <v>9</v>
      </c>
      <c r="B30" s="80"/>
      <c r="C30" s="61"/>
      <c r="D30" s="62"/>
      <c r="E30" s="62"/>
      <c r="F30" s="62"/>
      <c r="G30" s="62"/>
      <c r="H30" s="62"/>
      <c r="I30" s="63"/>
      <c r="J30" s="24"/>
      <c r="K30" s="24"/>
      <c r="L30" s="74" t="str">
        <f t="shared" ref="L30:L33" si="5">"    "&amp;_xlfn.TEXTJOIN(", ",TRUE,C30:I30)&amp;","</f>
        <v xml:space="preserve">    ,</v>
      </c>
      <c r="M30" s="79" t="s">
        <v>9</v>
      </c>
      <c r="N30" s="80"/>
      <c r="O30" s="61"/>
      <c r="P30" s="62"/>
      <c r="Q30" s="62"/>
      <c r="R30" s="62"/>
      <c r="S30" s="62"/>
      <c r="T30" s="62"/>
      <c r="U30" s="63"/>
      <c r="V30" s="74" t="str">
        <f t="shared" ref="V30:V33" si="6">"    "&amp;_xlfn.TEXTJOIN(", ",TRUE,O30:U30)&amp;","</f>
        <v xml:space="preserve">    ,</v>
      </c>
    </row>
    <row r="31" spans="1:22" ht="15.75" thickBot="1" x14ac:dyDescent="0.25">
      <c r="A31" s="79" t="s">
        <v>10</v>
      </c>
      <c r="B31" s="80"/>
      <c r="C31" s="64"/>
      <c r="D31" s="65"/>
      <c r="E31" s="65"/>
      <c r="F31" s="65"/>
      <c r="G31" s="65"/>
      <c r="H31" s="65"/>
      <c r="I31" s="66"/>
      <c r="J31" s="24"/>
      <c r="K31" s="24"/>
      <c r="L31" s="74" t="str">
        <f t="shared" si="5"/>
        <v xml:space="preserve">    ,</v>
      </c>
      <c r="M31" s="79" t="s">
        <v>10</v>
      </c>
      <c r="N31" s="80"/>
      <c r="O31" s="64"/>
      <c r="P31" s="65"/>
      <c r="Q31" s="65"/>
      <c r="R31" s="65"/>
      <c r="S31" s="65"/>
      <c r="T31" s="65"/>
      <c r="U31" s="66"/>
      <c r="V31" s="74" t="str">
        <f t="shared" si="6"/>
        <v xml:space="preserve">    ,</v>
      </c>
    </row>
    <row r="32" spans="1:22" ht="14.25" customHeight="1" thickBot="1" x14ac:dyDescent="0.25">
      <c r="A32" s="79" t="s">
        <v>18</v>
      </c>
      <c r="B32" s="80"/>
      <c r="C32" s="64"/>
      <c r="D32" s="65"/>
      <c r="E32" s="65"/>
      <c r="F32" s="65"/>
      <c r="G32" s="65"/>
      <c r="H32" s="65"/>
      <c r="I32" s="66"/>
      <c r="J32" s="24"/>
      <c r="K32" s="24"/>
      <c r="L32" s="74" t="str">
        <f t="shared" si="5"/>
        <v xml:space="preserve">    ,</v>
      </c>
      <c r="M32" s="79" t="s">
        <v>18</v>
      </c>
      <c r="N32" s="80"/>
      <c r="O32" s="64"/>
      <c r="P32" s="65"/>
      <c r="Q32" s="65"/>
      <c r="R32" s="65"/>
      <c r="S32" s="65"/>
      <c r="T32" s="65"/>
      <c r="U32" s="66"/>
      <c r="V32" s="74" t="str">
        <f t="shared" si="6"/>
        <v xml:space="preserve">    ,</v>
      </c>
    </row>
    <row r="33" spans="1:22" ht="15.75" thickBot="1" x14ac:dyDescent="0.25">
      <c r="A33" s="79" t="s">
        <v>19</v>
      </c>
      <c r="B33" s="80"/>
      <c r="C33" s="67"/>
      <c r="D33" s="68"/>
      <c r="E33" s="68"/>
      <c r="F33" s="68"/>
      <c r="G33" s="68"/>
      <c r="H33" s="68"/>
      <c r="I33" s="69"/>
      <c r="J33" s="24"/>
      <c r="K33" s="24"/>
      <c r="L33" s="74" t="str">
        <f t="shared" si="5"/>
        <v xml:space="preserve">    ,</v>
      </c>
      <c r="M33" s="79" t="s">
        <v>19</v>
      </c>
      <c r="N33" s="80"/>
      <c r="O33" s="67"/>
      <c r="P33" s="68"/>
      <c r="Q33" s="68"/>
      <c r="R33" s="68"/>
      <c r="S33" s="68"/>
      <c r="T33" s="68"/>
      <c r="U33" s="69"/>
      <c r="V33" s="74" t="str">
        <f t="shared" si="6"/>
        <v xml:space="preserve">    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2:I2"/>
    <mergeCell ref="M2:U2"/>
    <mergeCell ref="A3:B3"/>
    <mergeCell ref="M3:N3"/>
    <mergeCell ref="A5:B5"/>
    <mergeCell ref="M5:N5"/>
    <mergeCell ref="A4:B4"/>
    <mergeCell ref="M4:N4"/>
    <mergeCell ref="A6:I6"/>
    <mergeCell ref="M6:U6"/>
    <mergeCell ref="A12:I12"/>
    <mergeCell ref="M12:U12"/>
    <mergeCell ref="A13:B13"/>
    <mergeCell ref="M13:N13"/>
    <mergeCell ref="A14:B14"/>
    <mergeCell ref="M14:N14"/>
    <mergeCell ref="A15:B15"/>
    <mergeCell ref="M15:N15"/>
    <mergeCell ref="A16:B16"/>
    <mergeCell ref="M16:N16"/>
    <mergeCell ref="A19:I19"/>
    <mergeCell ref="M19:U19"/>
    <mergeCell ref="A20:B20"/>
    <mergeCell ref="M20:N20"/>
    <mergeCell ref="A21:B21"/>
    <mergeCell ref="M21:N21"/>
    <mergeCell ref="A22:B22"/>
    <mergeCell ref="M22:N22"/>
    <mergeCell ref="A23:I23"/>
    <mergeCell ref="M23:U23"/>
    <mergeCell ref="A32:B32"/>
    <mergeCell ref="M32:N32"/>
    <mergeCell ref="A33:B33"/>
    <mergeCell ref="M33:N33"/>
    <mergeCell ref="A29:I29"/>
    <mergeCell ref="M29:U29"/>
    <mergeCell ref="A30:B30"/>
    <mergeCell ref="M30:N30"/>
    <mergeCell ref="A31:B31"/>
    <mergeCell ref="M31:N31"/>
  </mergeCells>
  <phoneticPr fontId="1" type="noConversion"/>
  <conditionalFormatting sqref="C3:I3 C5:I5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2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1 C3:K3 C5:K5">
    <cfRule type="colorScale" priority="2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>
      <selection activeCell="M29" sqref="M29:U29"/>
    </sheetView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83"/>
      <c r="C2" s="83"/>
      <c r="D2" s="83"/>
      <c r="E2" s="83"/>
      <c r="F2" s="83"/>
      <c r="G2" s="83"/>
      <c r="H2" s="83"/>
      <c r="I2" s="78"/>
      <c r="J2" s="13"/>
      <c r="K2" s="13"/>
      <c r="L2" s="72"/>
      <c r="M2" s="77" t="s">
        <v>20</v>
      </c>
      <c r="N2" s="83"/>
      <c r="O2" s="83"/>
      <c r="P2" s="83"/>
      <c r="Q2" s="83"/>
      <c r="R2" s="83"/>
      <c r="S2" s="83"/>
      <c r="T2" s="83"/>
      <c r="U2" s="78"/>
      <c r="V2" s="72"/>
    </row>
    <row r="3" spans="1:22" ht="15.75" thickBot="1" x14ac:dyDescent="0.25">
      <c r="A3" s="77" t="s">
        <v>6</v>
      </c>
      <c r="B3" s="78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8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8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8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8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8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83"/>
      <c r="C6" s="83"/>
      <c r="D6" s="83"/>
      <c r="E6" s="83"/>
      <c r="F6" s="83"/>
      <c r="G6" s="83"/>
      <c r="H6" s="83"/>
      <c r="I6" s="78"/>
      <c r="J6" s="18"/>
      <c r="K6" s="18"/>
      <c r="L6" s="72"/>
      <c r="M6" s="77" t="s">
        <v>21</v>
      </c>
      <c r="N6" s="83"/>
      <c r="O6" s="83"/>
      <c r="P6" s="83"/>
      <c r="Q6" s="83"/>
      <c r="R6" s="83"/>
      <c r="S6" s="83"/>
      <c r="T6" s="83"/>
      <c r="U6" s="78"/>
      <c r="V6" s="72"/>
    </row>
    <row r="7" spans="1:22" ht="15.75" customHeight="1" thickBot="1" x14ac:dyDescent="0.25">
      <c r="A7" s="21" t="s">
        <v>13</v>
      </c>
      <c r="B7" s="19" t="s">
        <v>8</v>
      </c>
      <c r="C7" s="35"/>
      <c r="D7" s="36"/>
      <c r="E7" s="36"/>
      <c r="F7" s="36"/>
      <c r="G7" s="36"/>
      <c r="H7" s="36"/>
      <c r="I7" s="37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2" t="str">
        <f>"    "&amp;_xlfn.TEXTJOIN(", ",TRUE,C7:I7)&amp;","</f>
        <v xml:space="preserve">    ,</v>
      </c>
      <c r="M7" s="21" t="s">
        <v>13</v>
      </c>
      <c r="N7" s="19" t="s">
        <v>8</v>
      </c>
      <c r="O7" s="35"/>
      <c r="P7" s="36"/>
      <c r="Q7" s="36"/>
      <c r="R7" s="36"/>
      <c r="S7" s="36"/>
      <c r="T7" s="36"/>
      <c r="U7" s="37"/>
      <c r="V7" s="72" t="str">
        <f t="shared" si="1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38"/>
      <c r="D8" s="70"/>
      <c r="E8" s="70"/>
      <c r="F8" s="70"/>
      <c r="G8" s="70"/>
      <c r="H8" s="70"/>
      <c r="I8" s="39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2" t="str">
        <f>"    "&amp;_xlfn.TEXTJOIN(", ",TRUE,C8:I8)&amp;","</f>
        <v xml:space="preserve">    ,</v>
      </c>
      <c r="M8" s="21" t="s">
        <v>14</v>
      </c>
      <c r="N8" s="19" t="s">
        <v>8</v>
      </c>
      <c r="O8" s="38"/>
      <c r="P8" s="70"/>
      <c r="Q8" s="70"/>
      <c r="R8" s="70"/>
      <c r="S8" s="70"/>
      <c r="T8" s="70"/>
      <c r="U8" s="39"/>
      <c r="V8" s="72" t="str">
        <f t="shared" si="1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38"/>
      <c r="D9" s="70"/>
      <c r="E9" s="70"/>
      <c r="F9" s="70"/>
      <c r="G9" s="70"/>
      <c r="H9" s="70"/>
      <c r="I9" s="39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2" t="str">
        <f>"    "&amp;_xlfn.TEXTJOIN(", ",TRUE,C9:I9)&amp;","</f>
        <v xml:space="preserve">    ,</v>
      </c>
      <c r="M9" s="21" t="s">
        <v>15</v>
      </c>
      <c r="N9" s="19" t="s">
        <v>8</v>
      </c>
      <c r="O9" s="38"/>
      <c r="P9" s="70"/>
      <c r="Q9" s="70"/>
      <c r="R9" s="70"/>
      <c r="S9" s="70"/>
      <c r="T9" s="70"/>
      <c r="U9" s="39"/>
      <c r="V9" s="72" t="str">
        <f t="shared" si="1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38"/>
      <c r="D10" s="70"/>
      <c r="E10" s="70"/>
      <c r="F10" s="70"/>
      <c r="G10" s="70"/>
      <c r="H10" s="70"/>
      <c r="I10" s="39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2" t="str">
        <f>"    "&amp;_xlfn.TEXTJOIN(", ",TRUE,C10:I10)&amp;","</f>
        <v xml:space="preserve">    ,</v>
      </c>
      <c r="M10" s="21" t="s">
        <v>16</v>
      </c>
      <c r="N10" s="19" t="s">
        <v>8</v>
      </c>
      <c r="O10" s="38"/>
      <c r="P10" s="70"/>
      <c r="Q10" s="70"/>
      <c r="R10" s="70"/>
      <c r="S10" s="70"/>
      <c r="T10" s="70"/>
      <c r="U10" s="39"/>
      <c r="V10" s="72" t="str">
        <f t="shared" si="1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40"/>
      <c r="D11" s="41"/>
      <c r="E11" s="41"/>
      <c r="F11" s="41"/>
      <c r="G11" s="41"/>
      <c r="H11" s="41"/>
      <c r="I11" s="42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72" t="str">
        <f>"    "&amp;_xlfn.TEXTJOIN(", ",TRUE,C11:I11)&amp;","</f>
        <v xml:space="preserve">    ,</v>
      </c>
      <c r="M11" s="4" t="s">
        <v>17</v>
      </c>
      <c r="N11" s="19" t="s">
        <v>8</v>
      </c>
      <c r="O11" s="40"/>
      <c r="P11" s="41"/>
      <c r="Q11" s="41"/>
      <c r="R11" s="41"/>
      <c r="S11" s="41"/>
      <c r="T11" s="41"/>
      <c r="U11" s="42"/>
      <c r="V11" s="72" t="str">
        <f t="shared" si="1"/>
        <v xml:space="preserve">    ,</v>
      </c>
    </row>
    <row r="12" spans="1:22" ht="15.75" customHeight="1" thickBot="1" x14ac:dyDescent="0.25">
      <c r="A12" s="77" t="s">
        <v>22</v>
      </c>
      <c r="B12" s="83"/>
      <c r="C12" s="84"/>
      <c r="D12" s="84"/>
      <c r="E12" s="84"/>
      <c r="F12" s="84"/>
      <c r="G12" s="84"/>
      <c r="H12" s="84"/>
      <c r="I12" s="82"/>
      <c r="J12" s="18"/>
      <c r="K12" s="18"/>
      <c r="L12" s="72"/>
      <c r="M12" s="77" t="s">
        <v>22</v>
      </c>
      <c r="N12" s="83"/>
      <c r="O12" s="84"/>
      <c r="P12" s="84"/>
      <c r="Q12" s="84"/>
      <c r="R12" s="84"/>
      <c r="S12" s="84"/>
      <c r="T12" s="84"/>
      <c r="U12" s="82"/>
      <c r="V12" s="72"/>
    </row>
    <row r="13" spans="1:22" ht="15.75" customHeight="1" thickBot="1" x14ac:dyDescent="0.25">
      <c r="A13" s="77" t="s">
        <v>9</v>
      </c>
      <c r="B13" s="78"/>
      <c r="C13" s="52"/>
      <c r="D13" s="53"/>
      <c r="E13" s="53"/>
      <c r="F13" s="53"/>
      <c r="G13" s="53"/>
      <c r="H13" s="53"/>
      <c r="I13" s="54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72" t="str">
        <f>"    "&amp;_xlfn.TEXTJOIN(", ",TRUE,C13:I13)&amp;","</f>
        <v xml:space="preserve">    ,</v>
      </c>
      <c r="M13" s="77" t="s">
        <v>9</v>
      </c>
      <c r="N13" s="78"/>
      <c r="O13" s="52"/>
      <c r="P13" s="53"/>
      <c r="Q13" s="53"/>
      <c r="R13" s="53"/>
      <c r="S13" s="53"/>
      <c r="T13" s="53"/>
      <c r="U13" s="54"/>
      <c r="V13" s="72" t="str">
        <f t="shared" ref="V13:V16" si="2">"    "&amp;_xlfn.TEXTJOIN(", ",TRUE,O13:U13)&amp;","</f>
        <v xml:space="preserve">    ,</v>
      </c>
    </row>
    <row r="14" spans="1:22" ht="15.75" customHeight="1" thickBot="1" x14ac:dyDescent="0.25">
      <c r="A14" s="81" t="s">
        <v>10</v>
      </c>
      <c r="B14" s="82"/>
      <c r="C14" s="55"/>
      <c r="D14" s="56"/>
      <c r="E14" s="56"/>
      <c r="F14" s="56"/>
      <c r="G14" s="56"/>
      <c r="H14" s="56"/>
      <c r="I14" s="57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72" t="str">
        <f>"    "&amp;_xlfn.TEXTJOIN(", ",TRUE,C14:I14)&amp;","</f>
        <v xml:space="preserve">    ,</v>
      </c>
      <c r="M14" s="77" t="s">
        <v>10</v>
      </c>
      <c r="N14" s="78"/>
      <c r="O14" s="55"/>
      <c r="P14" s="56"/>
      <c r="Q14" s="56"/>
      <c r="R14" s="56"/>
      <c r="S14" s="56"/>
      <c r="T14" s="56"/>
      <c r="U14" s="57"/>
      <c r="V14" s="72" t="str">
        <f t="shared" si="2"/>
        <v xml:space="preserve">    ,</v>
      </c>
    </row>
    <row r="15" spans="1:22" ht="15.75" customHeight="1" thickBot="1" x14ac:dyDescent="0.25">
      <c r="A15" s="77" t="s">
        <v>18</v>
      </c>
      <c r="B15" s="78"/>
      <c r="C15" s="55"/>
      <c r="D15" s="56"/>
      <c r="E15" s="56"/>
      <c r="F15" s="56"/>
      <c r="G15" s="56"/>
      <c r="H15" s="56"/>
      <c r="I15" s="57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72" t="str">
        <f>"    "&amp;_xlfn.TEXTJOIN(", ",TRUE,C15:I15)&amp;","</f>
        <v xml:space="preserve">    ,</v>
      </c>
      <c r="M15" s="77" t="s">
        <v>18</v>
      </c>
      <c r="N15" s="78"/>
      <c r="O15" s="55"/>
      <c r="P15" s="56"/>
      <c r="Q15" s="56"/>
      <c r="R15" s="56"/>
      <c r="S15" s="56"/>
      <c r="T15" s="56"/>
      <c r="U15" s="57"/>
      <c r="V15" s="72" t="str">
        <f t="shared" si="2"/>
        <v xml:space="preserve">    ,</v>
      </c>
    </row>
    <row r="16" spans="1:22" ht="15.75" customHeight="1" thickBot="1" x14ac:dyDescent="0.25">
      <c r="A16" s="77" t="s">
        <v>19</v>
      </c>
      <c r="B16" s="78"/>
      <c r="C16" s="58"/>
      <c r="D16" s="59"/>
      <c r="E16" s="59"/>
      <c r="F16" s="59"/>
      <c r="G16" s="59"/>
      <c r="H16" s="59"/>
      <c r="I16" s="60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72" t="str">
        <f>"    "&amp;_xlfn.TEXTJOIN(", ",TRUE,C16:I16)&amp;","</f>
        <v xml:space="preserve">    ,</v>
      </c>
      <c r="M16" s="77" t="s">
        <v>19</v>
      </c>
      <c r="N16" s="78"/>
      <c r="O16" s="58"/>
      <c r="P16" s="59"/>
      <c r="Q16" s="59"/>
      <c r="R16" s="59"/>
      <c r="S16" s="59"/>
      <c r="T16" s="59"/>
      <c r="U16" s="60"/>
      <c r="V16" s="72" t="str">
        <f t="shared" si="2"/>
        <v xml:space="preserve">    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79" t="s">
        <v>20</v>
      </c>
      <c r="B19" s="85"/>
      <c r="C19" s="85"/>
      <c r="D19" s="85"/>
      <c r="E19" s="85"/>
      <c r="F19" s="85"/>
      <c r="G19" s="85"/>
      <c r="H19" s="85"/>
      <c r="I19" s="80"/>
      <c r="J19" s="14"/>
      <c r="K19" s="14"/>
      <c r="L19" s="74"/>
      <c r="M19" s="79" t="s">
        <v>20</v>
      </c>
      <c r="N19" s="85"/>
      <c r="O19" s="85"/>
      <c r="P19" s="85"/>
      <c r="Q19" s="85"/>
      <c r="R19" s="85"/>
      <c r="S19" s="85"/>
      <c r="T19" s="85"/>
      <c r="U19" s="80"/>
      <c r="V19" s="74"/>
    </row>
    <row r="20" spans="1:22" ht="15.75" thickBot="1" x14ac:dyDescent="0.25">
      <c r="A20" s="79" t="s">
        <v>6</v>
      </c>
      <c r="B20" s="80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0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0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0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28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0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0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5"/>
      <c r="C23" s="85"/>
      <c r="D23" s="85"/>
      <c r="E23" s="85"/>
      <c r="F23" s="85"/>
      <c r="G23" s="85"/>
      <c r="H23" s="85"/>
      <c r="I23" s="80"/>
      <c r="J23" s="24"/>
      <c r="K23" s="24"/>
      <c r="L23" s="74"/>
      <c r="M23" s="79" t="s">
        <v>21</v>
      </c>
      <c r="N23" s="85"/>
      <c r="O23" s="85"/>
      <c r="P23" s="85"/>
      <c r="Q23" s="85"/>
      <c r="R23" s="85"/>
      <c r="S23" s="85"/>
      <c r="T23" s="85"/>
      <c r="U23" s="80"/>
      <c r="V23" s="74"/>
    </row>
    <row r="24" spans="1:22" ht="15.75" thickBot="1" x14ac:dyDescent="0.25">
      <c r="A24" s="28" t="s">
        <v>13</v>
      </c>
      <c r="B24" s="20" t="s">
        <v>8</v>
      </c>
      <c r="C24" s="43"/>
      <c r="D24" s="44"/>
      <c r="E24" s="44"/>
      <c r="F24" s="44"/>
      <c r="G24" s="44"/>
      <c r="H24" s="44"/>
      <c r="I24" s="45"/>
      <c r="J24" s="24"/>
      <c r="K24" s="24"/>
      <c r="L24" s="74" t="str">
        <f t="shared" si="4"/>
        <v xml:space="preserve">    ,</v>
      </c>
      <c r="M24" s="28" t="s">
        <v>13</v>
      </c>
      <c r="N24" s="20" t="s">
        <v>8</v>
      </c>
      <c r="O24" s="43"/>
      <c r="P24" s="44"/>
      <c r="Q24" s="44"/>
      <c r="R24" s="44"/>
      <c r="S24" s="44"/>
      <c r="T24" s="44"/>
      <c r="U24" s="45"/>
      <c r="V24" s="74" t="str">
        <f t="shared" si="3"/>
        <v xml:space="preserve">    ,</v>
      </c>
    </row>
    <row r="25" spans="1:22" ht="15.75" thickBot="1" x14ac:dyDescent="0.25">
      <c r="A25" s="28" t="s">
        <v>14</v>
      </c>
      <c r="B25" s="20" t="s">
        <v>8</v>
      </c>
      <c r="C25" s="46"/>
      <c r="D25" s="71"/>
      <c r="E25" s="71"/>
      <c r="F25" s="71"/>
      <c r="G25" s="71"/>
      <c r="H25" s="71"/>
      <c r="I25" s="47"/>
      <c r="J25" s="24"/>
      <c r="K25" s="24"/>
      <c r="L25" s="74" t="str">
        <f t="shared" si="4"/>
        <v xml:space="preserve">    ,</v>
      </c>
      <c r="M25" s="28" t="s">
        <v>14</v>
      </c>
      <c r="N25" s="20" t="s">
        <v>8</v>
      </c>
      <c r="O25" s="46"/>
      <c r="P25" s="71"/>
      <c r="Q25" s="71"/>
      <c r="R25" s="71"/>
      <c r="S25" s="71"/>
      <c r="T25" s="71"/>
      <c r="U25" s="47"/>
      <c r="V25" s="74" t="str">
        <f t="shared" si="3"/>
        <v xml:space="preserve">    ,</v>
      </c>
    </row>
    <row r="26" spans="1:22" ht="15.75" thickBot="1" x14ac:dyDescent="0.25">
      <c r="A26" s="28" t="s">
        <v>15</v>
      </c>
      <c r="B26" s="20" t="s">
        <v>8</v>
      </c>
      <c r="C26" s="46"/>
      <c r="D26" s="71"/>
      <c r="E26" s="71"/>
      <c r="F26" s="71"/>
      <c r="G26" s="71"/>
      <c r="H26" s="71"/>
      <c r="I26" s="47"/>
      <c r="J26" s="24"/>
      <c r="K26" s="24"/>
      <c r="L26" s="74" t="str">
        <f t="shared" si="4"/>
        <v xml:space="preserve">    ,</v>
      </c>
      <c r="M26" s="28" t="s">
        <v>15</v>
      </c>
      <c r="N26" s="20" t="s">
        <v>8</v>
      </c>
      <c r="O26" s="46"/>
      <c r="P26" s="71"/>
      <c r="Q26" s="71"/>
      <c r="R26" s="71"/>
      <c r="S26" s="71"/>
      <c r="T26" s="71"/>
      <c r="U26" s="47"/>
      <c r="V26" s="74" t="str">
        <f t="shared" si="3"/>
        <v xml:space="preserve">    ,</v>
      </c>
    </row>
    <row r="27" spans="1:22" ht="15.75" thickBot="1" x14ac:dyDescent="0.25">
      <c r="A27" s="28" t="s">
        <v>16</v>
      </c>
      <c r="B27" s="20" t="s">
        <v>8</v>
      </c>
      <c r="C27" s="46"/>
      <c r="D27" s="71"/>
      <c r="E27" s="71"/>
      <c r="F27" s="71"/>
      <c r="G27" s="71"/>
      <c r="H27" s="71"/>
      <c r="I27" s="47"/>
      <c r="J27" s="24"/>
      <c r="K27" s="24"/>
      <c r="L27" s="74" t="str">
        <f t="shared" si="4"/>
        <v xml:space="preserve">    ,</v>
      </c>
      <c r="M27" s="28" t="s">
        <v>16</v>
      </c>
      <c r="N27" s="20" t="s">
        <v>8</v>
      </c>
      <c r="O27" s="46"/>
      <c r="P27" s="71"/>
      <c r="Q27" s="71"/>
      <c r="R27" s="71"/>
      <c r="S27" s="71"/>
      <c r="T27" s="71"/>
      <c r="U27" s="47"/>
      <c r="V27" s="74" t="str">
        <f t="shared" si="3"/>
        <v xml:space="preserve">    ,</v>
      </c>
    </row>
    <row r="28" spans="1:22" ht="15.75" thickBot="1" x14ac:dyDescent="0.25">
      <c r="A28" s="29" t="s">
        <v>17</v>
      </c>
      <c r="B28" s="20" t="s">
        <v>8</v>
      </c>
      <c r="C28" s="48"/>
      <c r="D28" s="49"/>
      <c r="E28" s="49"/>
      <c r="F28" s="49"/>
      <c r="G28" s="49"/>
      <c r="H28" s="49"/>
      <c r="I28" s="50"/>
      <c r="J28" s="24"/>
      <c r="K28" s="24"/>
      <c r="L28" s="74" t="str">
        <f t="shared" si="4"/>
        <v xml:space="preserve">    ,</v>
      </c>
      <c r="M28" s="29" t="s">
        <v>17</v>
      </c>
      <c r="N28" s="20" t="s">
        <v>8</v>
      </c>
      <c r="O28" s="48"/>
      <c r="P28" s="49"/>
      <c r="Q28" s="49"/>
      <c r="R28" s="49"/>
      <c r="S28" s="49"/>
      <c r="T28" s="49"/>
      <c r="U28" s="50"/>
      <c r="V28" s="74" t="str">
        <f t="shared" si="3"/>
        <v xml:space="preserve">    ,</v>
      </c>
    </row>
    <row r="29" spans="1:22" ht="15.75" thickBot="1" x14ac:dyDescent="0.25">
      <c r="A29" s="79" t="s">
        <v>22</v>
      </c>
      <c r="B29" s="85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79" t="s">
        <v>22</v>
      </c>
      <c r="N29" s="85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79" t="s">
        <v>9</v>
      </c>
      <c r="B30" s="80"/>
      <c r="C30" s="61"/>
      <c r="D30" s="62"/>
      <c r="E30" s="62"/>
      <c r="F30" s="62"/>
      <c r="G30" s="62"/>
      <c r="H30" s="62"/>
      <c r="I30" s="63"/>
      <c r="J30" s="24"/>
      <c r="K30" s="24"/>
      <c r="L30" s="74" t="str">
        <f t="shared" ref="L30:L33" si="5">"    "&amp;_xlfn.TEXTJOIN(", ",TRUE,C30:I30)&amp;","</f>
        <v xml:space="preserve">    ,</v>
      </c>
      <c r="M30" s="79" t="s">
        <v>9</v>
      </c>
      <c r="N30" s="80"/>
      <c r="O30" s="61"/>
      <c r="P30" s="62"/>
      <c r="Q30" s="62"/>
      <c r="R30" s="62"/>
      <c r="S30" s="62"/>
      <c r="T30" s="62"/>
      <c r="U30" s="63"/>
      <c r="V30" s="74" t="str">
        <f t="shared" ref="V30:V33" si="6">"    "&amp;_xlfn.TEXTJOIN(", ",TRUE,O30:U30)&amp;","</f>
        <v xml:space="preserve">    ,</v>
      </c>
    </row>
    <row r="31" spans="1:22" ht="15.75" thickBot="1" x14ac:dyDescent="0.25">
      <c r="A31" s="79" t="s">
        <v>10</v>
      </c>
      <c r="B31" s="80"/>
      <c r="C31" s="64"/>
      <c r="D31" s="65"/>
      <c r="E31" s="65"/>
      <c r="F31" s="65"/>
      <c r="G31" s="65"/>
      <c r="H31" s="65"/>
      <c r="I31" s="66"/>
      <c r="J31" s="24"/>
      <c r="K31" s="24"/>
      <c r="L31" s="74" t="str">
        <f t="shared" si="5"/>
        <v xml:space="preserve">    ,</v>
      </c>
      <c r="M31" s="79" t="s">
        <v>10</v>
      </c>
      <c r="N31" s="80"/>
      <c r="O31" s="64"/>
      <c r="P31" s="65"/>
      <c r="Q31" s="65"/>
      <c r="R31" s="65"/>
      <c r="S31" s="65"/>
      <c r="T31" s="65"/>
      <c r="U31" s="66"/>
      <c r="V31" s="74" t="str">
        <f t="shared" si="6"/>
        <v xml:space="preserve">    ,</v>
      </c>
    </row>
    <row r="32" spans="1:22" ht="14.25" customHeight="1" thickBot="1" x14ac:dyDescent="0.25">
      <c r="A32" s="79" t="s">
        <v>18</v>
      </c>
      <c r="B32" s="80"/>
      <c r="C32" s="64"/>
      <c r="D32" s="65"/>
      <c r="E32" s="65"/>
      <c r="F32" s="65"/>
      <c r="G32" s="65"/>
      <c r="H32" s="65"/>
      <c r="I32" s="66"/>
      <c r="J32" s="24"/>
      <c r="K32" s="24"/>
      <c r="L32" s="74" t="str">
        <f t="shared" si="5"/>
        <v xml:space="preserve">    ,</v>
      </c>
      <c r="M32" s="79" t="s">
        <v>18</v>
      </c>
      <c r="N32" s="80"/>
      <c r="O32" s="64"/>
      <c r="P32" s="65"/>
      <c r="Q32" s="65"/>
      <c r="R32" s="65"/>
      <c r="S32" s="65"/>
      <c r="T32" s="65"/>
      <c r="U32" s="66"/>
      <c r="V32" s="74" t="str">
        <f t="shared" si="6"/>
        <v xml:space="preserve">    ,</v>
      </c>
    </row>
    <row r="33" spans="1:22" ht="15.75" thickBot="1" x14ac:dyDescent="0.25">
      <c r="A33" s="79" t="s">
        <v>19</v>
      </c>
      <c r="B33" s="80"/>
      <c r="C33" s="67"/>
      <c r="D33" s="68"/>
      <c r="E33" s="68"/>
      <c r="F33" s="68"/>
      <c r="G33" s="68"/>
      <c r="H33" s="68"/>
      <c r="I33" s="69"/>
      <c r="J33" s="24"/>
      <c r="K33" s="24"/>
      <c r="L33" s="74" t="str">
        <f t="shared" si="5"/>
        <v xml:space="preserve">    ,</v>
      </c>
      <c r="M33" s="79" t="s">
        <v>19</v>
      </c>
      <c r="N33" s="80"/>
      <c r="O33" s="67"/>
      <c r="P33" s="68"/>
      <c r="Q33" s="68"/>
      <c r="R33" s="68"/>
      <c r="S33" s="68"/>
      <c r="T33" s="68"/>
      <c r="U33" s="69"/>
      <c r="V33" s="74" t="str">
        <f t="shared" si="6"/>
        <v xml:space="preserve">    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16:N16"/>
    <mergeCell ref="A3:B3"/>
    <mergeCell ref="M3:N3"/>
    <mergeCell ref="A20:B20"/>
    <mergeCell ref="M20:N20"/>
    <mergeCell ref="A13:B13"/>
    <mergeCell ref="A14:B14"/>
    <mergeCell ref="A5:B5"/>
    <mergeCell ref="M5:N5"/>
    <mergeCell ref="A12:I12"/>
    <mergeCell ref="A6:I6"/>
    <mergeCell ref="M12:U12"/>
    <mergeCell ref="A4:B4"/>
    <mergeCell ref="M4:N4"/>
  </mergeCells>
  <phoneticPr fontId="1" type="noConversion"/>
  <conditionalFormatting sqref="C3:I3 C5:I5">
    <cfRule type="colorScale" priority="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1 C5:K5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8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8">
    <cfRule type="colorScale" priority="2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2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8"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2026-05-18T13:31:58Z</dcterms:modified>
</cp:coreProperties>
</file>