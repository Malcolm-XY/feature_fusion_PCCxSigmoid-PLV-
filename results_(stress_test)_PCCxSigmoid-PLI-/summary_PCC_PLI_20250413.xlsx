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PCCxSigmoid-PLI-\"/>
    </mc:Choice>
  </mc:AlternateContent>
  <xr:revisionPtr revIDLastSave="0" documentId="13_ncr:1_{E9518283-9AAF-4904-9A14-23B8AC7D6220}" xr6:coauthVersionLast="47" xr6:coauthVersionMax="47" xr10:uidLastSave="{00000000-0000-0000-0000-000000000000}"/>
  <bookViews>
    <workbookView xWindow="-120" yWindow="-120" windowWidth="29040" windowHeight="15720" tabRatio="660" activeTab="1" xr2:uid="{00000000-000D-0000-FFFF-FFFF00000000}"/>
  </bookViews>
  <sheets>
    <sheet name="nm_basis_F, nm_modifier_F" sheetId="8" r:id="rId1"/>
    <sheet name="nm_basis_T, nm_modifier_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2" i="5" l="1"/>
  <c r="V31" i="5"/>
  <c r="V30" i="5"/>
  <c r="V29" i="5"/>
  <c r="V27" i="5"/>
  <c r="V26" i="5"/>
  <c r="V25" i="5"/>
  <c r="V24" i="5"/>
  <c r="V23" i="5"/>
  <c r="V21" i="5"/>
  <c r="V20" i="5"/>
  <c r="V19" i="5"/>
  <c r="V15" i="5"/>
  <c r="V14" i="5"/>
  <c r="V13" i="5"/>
  <c r="V12" i="5"/>
  <c r="V10" i="5"/>
  <c r="V9" i="5"/>
  <c r="V8" i="5"/>
  <c r="V7" i="5"/>
  <c r="V6" i="5"/>
  <c r="V4" i="5"/>
  <c r="V3" i="5"/>
  <c r="L32" i="5"/>
  <c r="L31" i="5"/>
  <c r="L30" i="5"/>
  <c r="L29" i="5"/>
  <c r="L27" i="5"/>
  <c r="L26" i="5"/>
  <c r="L25" i="5"/>
  <c r="L24" i="5"/>
  <c r="L23" i="5"/>
  <c r="L21" i="5"/>
  <c r="L20" i="5"/>
  <c r="L19" i="5"/>
  <c r="L15" i="5"/>
  <c r="L14" i="5"/>
  <c r="L13" i="5"/>
  <c r="L12" i="5"/>
  <c r="L10" i="5"/>
  <c r="L9" i="5"/>
  <c r="L8" i="5"/>
  <c r="L7" i="5"/>
  <c r="L6" i="5"/>
  <c r="L4" i="5"/>
  <c r="L3" i="5"/>
  <c r="V21" i="8"/>
  <c r="V23" i="8"/>
  <c r="V24" i="8"/>
  <c r="V25" i="8"/>
  <c r="V26" i="8"/>
  <c r="V27" i="8"/>
  <c r="V4" i="8"/>
  <c r="V6" i="8"/>
  <c r="V7" i="8"/>
  <c r="V8" i="8"/>
  <c r="V9" i="8"/>
  <c r="V10" i="8"/>
  <c r="L21" i="8"/>
  <c r="L23" i="8"/>
  <c r="L24" i="8"/>
  <c r="L25" i="8"/>
  <c r="L26" i="8"/>
  <c r="L27" i="8"/>
  <c r="L4" i="8"/>
  <c r="L6" i="8"/>
  <c r="L7" i="8"/>
  <c r="L8" i="8"/>
  <c r="L9" i="8"/>
  <c r="L10" i="8"/>
  <c r="V32" i="8"/>
  <c r="L32" i="8"/>
  <c r="V31" i="8"/>
  <c r="L31" i="8"/>
  <c r="V30" i="8"/>
  <c r="L30" i="8"/>
  <c r="V29" i="8"/>
  <c r="L29" i="8"/>
  <c r="V20" i="8"/>
  <c r="L20" i="8"/>
  <c r="V19" i="8"/>
  <c r="L19" i="8"/>
  <c r="V15" i="8"/>
  <c r="L15" i="8"/>
  <c r="K15" i="8" a="1"/>
  <c r="K15" i="8" s="1"/>
  <c r="J15" i="8" a="1"/>
  <c r="J15" i="8" s="1"/>
  <c r="V14" i="8"/>
  <c r="L14" i="8"/>
  <c r="K14" i="8" a="1"/>
  <c r="K14" i="8" s="1"/>
  <c r="J14" i="8" a="1"/>
  <c r="J14" i="8" s="1"/>
  <c r="V13" i="8"/>
  <c r="L13" i="8"/>
  <c r="K13" i="8" a="1"/>
  <c r="K13" i="8" s="1"/>
  <c r="J13" i="8" a="1"/>
  <c r="J13" i="8" s="1"/>
  <c r="V12" i="8"/>
  <c r="L12" i="8"/>
  <c r="K12" i="8" a="1"/>
  <c r="K12" i="8" s="1"/>
  <c r="J12" i="8" a="1"/>
  <c r="J12" i="8" s="1"/>
  <c r="K10" i="8" a="1"/>
  <c r="K10" i="8" s="1"/>
  <c r="J10" i="8" a="1"/>
  <c r="J10" i="8" s="1"/>
  <c r="K9" i="8" a="1"/>
  <c r="K9" i="8" s="1"/>
  <c r="J9" i="8" a="1"/>
  <c r="J9" i="8" s="1"/>
  <c r="K8" i="8" a="1"/>
  <c r="K8" i="8" s="1"/>
  <c r="J8" i="8" a="1"/>
  <c r="J8" i="8" s="1"/>
  <c r="K7" i="8" a="1"/>
  <c r="K7" i="8" s="1"/>
  <c r="J7" i="8" a="1"/>
  <c r="J7" i="8" s="1"/>
  <c r="K6" i="8" a="1"/>
  <c r="K6" i="8" s="1"/>
  <c r="J6" i="8" a="1"/>
  <c r="J6" i="8" s="1"/>
  <c r="K4" i="8" a="1"/>
  <c r="K4" i="8" s="1"/>
  <c r="J4" i="8" a="1"/>
  <c r="J4" i="8" s="1"/>
  <c r="V3" i="8"/>
  <c r="L3" i="8"/>
  <c r="K3" i="8" a="1"/>
  <c r="K3" i="8" s="1"/>
  <c r="J3" i="8" a="1"/>
  <c r="J3" i="8" s="1"/>
  <c r="J4" i="5" a="1"/>
  <c r="J4" i="5" s="1"/>
  <c r="K4" i="5" a="1"/>
  <c r="K4" i="5" s="1"/>
  <c r="K6" i="5" a="1"/>
  <c r="K6" i="5" s="1"/>
  <c r="K9" i="5" a="1"/>
  <c r="K9" i="5" s="1"/>
  <c r="K8" i="5" a="1"/>
  <c r="K8" i="5" s="1"/>
  <c r="K7" i="5" a="1"/>
  <c r="K7" i="5" s="1"/>
  <c r="J9" i="5" a="1"/>
  <c r="J9" i="5" s="1"/>
  <c r="J8" i="5" a="1"/>
  <c r="J8" i="5" s="1"/>
  <c r="J7" i="5" a="1"/>
  <c r="J7" i="5" s="1"/>
  <c r="J6" i="5" a="1"/>
  <c r="J6" i="5" s="1"/>
  <c r="K10" i="5" a="1"/>
  <c r="K10" i="5" s="1"/>
  <c r="J10" i="5" a="1"/>
  <c r="J10" i="5" s="1"/>
  <c r="K13" i="5" a="1"/>
  <c r="K13" i="5" s="1"/>
  <c r="J13" i="5" a="1"/>
  <c r="J13" i="5" s="1"/>
  <c r="J15" i="5" a="1"/>
  <c r="J15" i="5" s="1"/>
  <c r="J14" i="5" a="1"/>
  <c r="J14" i="5" s="1"/>
  <c r="J12" i="5" a="1"/>
  <c r="J12" i="5" s="1"/>
  <c r="J3" i="5" a="1"/>
  <c r="J3" i="5" s="1"/>
  <c r="K15" i="5" a="1"/>
  <c r="K15" i="5" s="1"/>
  <c r="K14" i="5" a="1"/>
  <c r="K14" i="5" s="1"/>
  <c r="K12" i="5" a="1"/>
  <c r="K12" i="5" s="1"/>
  <c r="K3" i="5" a="1"/>
  <c r="K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<sst xmlns="http://schemas.openxmlformats.org/spreadsheetml/2006/main" count="176" uniqueCount="23">
  <si>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</si>
  <si>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</si>
  <si>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</si>
  <si>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</si>
  <si>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</si>
  <si>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</si>
  <si>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</si>
  <si>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</si>
  <si>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</si>
  <si>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</si>
  <si>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</si>
  <si>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</si>
  <si>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</si>
  <si>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k=10, tp=30</t>
    <phoneticPr fontId="1" type="noConversion"/>
  </si>
  <si>
    <t>k=20, tp=30</t>
    <phoneticPr fontId="1" type="noConversion"/>
  </si>
  <si>
    <t>k=50, tp=30</t>
    <phoneticPr fontId="1" type="noConversion"/>
  </si>
  <si>
    <t>k=200, tp=30</t>
    <phoneticPr fontId="1" type="noConversion"/>
  </si>
  <si>
    <t>Heaviside, tp=30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</si>
  <si>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</si>
  <si>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</si>
  <si>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Baselines</t>
    <phoneticPr fontId="1" type="noConversion"/>
  </si>
  <si>
    <t>Proposed: PC-AEC</t>
    <phoneticPr fontId="1" type="noConversion"/>
  </si>
  <si>
    <t>Competitors: PCC &amp; PLI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</si>
</sst>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8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6D2E-BE4A-4A1F-8425-1EB62294D197}">
  <dimension ref="A1:V44"/>
  <sheetViews>
    <sheetView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83" t="s">
        <v>20</v>
      </c>
      <c r="B2" s="87"/>
      <c r="C2" s="87"/>
      <c r="D2" s="87"/>
      <c r="E2" s="87"/>
      <c r="F2" s="87"/>
      <c r="G2" s="87"/>
      <c r="H2" s="87"/>
      <c r="I2" s="84"/>
      <c r="J2" s="13"/>
      <c r="K2" s="13"/>
      <c r="L2" s="72"/>
      <c r="M2" s="83" t="s">
        <v>20</v>
      </c>
      <c r="N2" s="87"/>
      <c r="O2" s="87"/>
      <c r="P2" s="87"/>
      <c r="Q2" s="87"/>
      <c r="R2" s="87"/>
      <c r="S2" s="87"/>
      <c r="T2" s="87"/>
      <c r="U2" s="84"/>
      <c r="V2" s="72"/>
    </row>
    <row r="3" spans="1:22" ht="15.75" thickBot="1" x14ac:dyDescent="0.25">
      <c r="A3" s="83" t="s">
        <v>6</v>
      </c>
      <c r="B3" s="84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83" t="s">
        <v>6</v>
      </c>
      <c r="N3" s="84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83" t="s">
        <v>12</v>
      </c>
      <c r="B4" s="84"/>
      <c r="C4" s="22">
        <v>87.593900000000005</v>
      </c>
      <c r="D4" s="33">
        <v>87.663716814159287</v>
      </c>
      <c r="E4" s="33">
        <v>88.112094395280209</v>
      </c>
      <c r="F4" s="33">
        <v>87.970025692263789</v>
      </c>
      <c r="G4" s="33">
        <v>87.461708146264243</v>
      </c>
      <c r="H4" s="33">
        <v>75.251363189416281</v>
      </c>
      <c r="I4" s="34">
        <v>47.720683858280204</v>
      </c>
      <c r="J4" s="18" cm="1">
        <f t="array" ref="J4">-SUMPRODUCT((D1:H1-C1:G1)*(C4:G4+D4:H4)/2)</f>
        <v>78.394630770414679</v>
      </c>
      <c r="K4" s="18" cm="1">
        <f t="array" ref="K4">-SUMPRODUCT((D1:I1-C1:H1)*(C4:H4+D4:I4)/2)</f>
        <v>81.468931946607086</v>
      </c>
      <c r="L4" s="72" t="str">
        <f>"    "&amp;_xlfn.TEXTJOIN(", ",TRUE,C4:I4)&amp;","</f>
        <v xml:space="preserve">    87.5939, 87.6637168141593, 88.1120943952802, 87.9700256922638, 87.4617081462642, 75.2513631894163, 47.7206838582802,</v>
      </c>
      <c r="M4" s="83" t="s">
        <v>12</v>
      </c>
      <c r="N4" s="84"/>
      <c r="O4" s="51">
        <v>2.4529187882918819</v>
      </c>
      <c r="P4" s="33">
        <v>2.16276566139488</v>
      </c>
      <c r="Q4" s="33">
        <v>2.2973398804747198</v>
      </c>
      <c r="R4" s="33">
        <v>2.134165319654592</v>
      </c>
      <c r="S4" s="33">
        <v>2.3834878752826651</v>
      </c>
      <c r="T4" s="33">
        <v>3.787986046410059</v>
      </c>
      <c r="U4" s="34">
        <v>3.7419646549723868</v>
      </c>
      <c r="V4" s="72" t="str">
        <f t="shared" ref="V4:V10" si="0">"    "&amp;_xlfn.TEXTJOIN(", ",TRUE,O4:U4)&amp;","</f>
        <v xml:space="preserve">    2.45291878829188, 2.16276566139488, 2.29733988047472, 2.13416531965459, 2.38348787528267, 3.78798604641006, 3.74196465497239,</v>
      </c>
    </row>
    <row r="5" spans="1:22" ht="15.75" thickBot="1" x14ac:dyDescent="0.25">
      <c r="A5" s="83" t="s">
        <v>21</v>
      </c>
      <c r="B5" s="87"/>
      <c r="C5" s="87"/>
      <c r="D5" s="87"/>
      <c r="E5" s="87"/>
      <c r="F5" s="87"/>
      <c r="G5" s="87"/>
      <c r="H5" s="87"/>
      <c r="I5" s="84"/>
      <c r="J5" s="18"/>
      <c r="K5" s="18"/>
      <c r="L5" s="72"/>
      <c r="M5" s="83" t="s">
        <v>21</v>
      </c>
      <c r="N5" s="87"/>
      <c r="O5" s="87"/>
      <c r="P5" s="87"/>
      <c r="Q5" s="87"/>
      <c r="R5" s="87"/>
      <c r="S5" s="87"/>
      <c r="T5" s="87"/>
      <c r="U5" s="84"/>
      <c r="V5" s="72"/>
    </row>
    <row r="6" spans="1:22" ht="15.75" customHeight="1" thickBot="1" x14ac:dyDescent="0.25">
      <c r="A6" s="21" t="s">
        <v>13</v>
      </c>
      <c r="B6" s="19" t="s">
        <v>8</v>
      </c>
      <c r="C6" s="35">
        <v>93.299901671583072</v>
      </c>
      <c r="D6" s="36">
        <v>92.097356666868521</v>
      </c>
      <c r="E6" s="36">
        <v>91.054086396364454</v>
      </c>
      <c r="F6" s="36">
        <v>88.661072615968436</v>
      </c>
      <c r="G6" s="36">
        <v>85.739565221152432</v>
      </c>
      <c r="H6" s="36">
        <v>68.337410646574227</v>
      </c>
      <c r="I6" s="37">
        <v>46.523856896109251</v>
      </c>
      <c r="J6" s="18" cm="1">
        <f t="array" ref="J6">-SUMPRODUCT((D1:H1-C1:G1)*(C6:G6+D6:H6)/2)</f>
        <v>80.463984261686235</v>
      </c>
      <c r="K6" s="18" cm="1">
        <f t="array" ref="K6">-SUMPRODUCT((D1:I1-C1:H1)*(C6:H6+D6:I6)/2)</f>
        <v>83.335515950253324</v>
      </c>
      <c r="L6" s="72" t="str">
        <f>"    "&amp;_xlfn.TEXTJOIN(", ",TRUE,C6:I6)&amp;","</f>
        <v xml:space="preserve">    93.2999016715831, 92.0973566668685, 91.0540863963645, 88.6610726159684, 85.7395652211524, 68.3374106465742, 46.5238568961093,</v>
      </c>
      <c r="M6" s="21" t="s">
        <v>13</v>
      </c>
      <c r="N6" s="19" t="s">
        <v>8</v>
      </c>
      <c r="O6" s="35">
        <v>3.3470340283904472</v>
      </c>
      <c r="P6" s="36">
        <v>3.8810421319808399</v>
      </c>
      <c r="Q6" s="36">
        <v>3.495670706325507</v>
      </c>
      <c r="R6" s="36">
        <v>3.151219467816269</v>
      </c>
      <c r="S6" s="36">
        <v>3.3781349035490229</v>
      </c>
      <c r="T6" s="36">
        <v>6.6266956524704739</v>
      </c>
      <c r="U6" s="37">
        <v>5.301203589536982</v>
      </c>
      <c r="V6" s="72" t="str">
        <f t="shared" si="0"/>
        <v xml:space="preserve">    3.34703402839045, 3.88104213198084, 3.49567070632551, 3.15121946781627, 3.37813490354902, 6.62669565247047, 5.30120358953698,</v>
      </c>
    </row>
    <row r="7" spans="1:22" ht="15.75" customHeight="1" thickBot="1" x14ac:dyDescent="0.25">
      <c r="A7" s="21" t="s">
        <v>14</v>
      </c>
      <c r="B7" s="19" t="s">
        <v>8</v>
      </c>
      <c r="C7" s="38">
        <v>93.038353849658421</v>
      </c>
      <c r="D7" s="70">
        <v>92.097345132743371</v>
      </c>
      <c r="E7" s="70">
        <v>91.207484493810483</v>
      </c>
      <c r="F7" s="70">
        <v>88.504436312886227</v>
      </c>
      <c r="G7" s="70">
        <v>86.371842893681332</v>
      </c>
      <c r="H7" s="70">
        <v>70.638087988073707</v>
      </c>
      <c r="I7" s="39">
        <v>47.624682451116932</v>
      </c>
      <c r="J7" s="18" cm="1">
        <f t="array" ref="J7">-SUMPRODUCT((D1:H1-C1:G1)*(C7:G7+D7:H7)/2)</f>
        <v>80.620568661205255</v>
      </c>
      <c r="K7" s="18" cm="1">
        <f t="array" ref="K7">-SUMPRODUCT((D1:I1-C1:H1)*(C7:H7+D7:I7)/2)</f>
        <v>83.577137922185017</v>
      </c>
      <c r="L7" s="72" t="str">
        <f>"    "&amp;_xlfn.TEXTJOIN(", ",TRUE,C7:I7)&amp;","</f>
        <v xml:space="preserve">    93.0383538496584, 92.0973451327434, 91.2074844938105, 88.5044363128862, 86.3718428936813, 70.6380879880737, 47.6246824511169,</v>
      </c>
      <c r="M7" s="21" t="s">
        <v>14</v>
      </c>
      <c r="N7" s="19" t="s">
        <v>8</v>
      </c>
      <c r="O7" s="38">
        <v>3.591684565006239</v>
      </c>
      <c r="P7" s="70">
        <v>3.6315416051708338</v>
      </c>
      <c r="Q7" s="70">
        <v>3.47474439934664</v>
      </c>
      <c r="R7" s="70">
        <v>3.050775991984775</v>
      </c>
      <c r="S7" s="70">
        <v>3.4085927396519442</v>
      </c>
      <c r="T7" s="70">
        <v>5.8580158143933119</v>
      </c>
      <c r="U7" s="39">
        <v>4.0794731079556916</v>
      </c>
      <c r="V7" s="72" t="str">
        <f t="shared" si="0"/>
        <v xml:space="preserve">    3.59168456500624, 3.63154160517083, 3.47474439934664, 3.05077599198478, 3.40859273965194, 5.85801581439331, 4.07947310795569,</v>
      </c>
    </row>
    <row r="8" spans="1:22" ht="15.75" customHeight="1" thickBot="1" x14ac:dyDescent="0.25">
      <c r="A8" s="21" t="s">
        <v>15</v>
      </c>
      <c r="B8" s="19" t="s">
        <v>8</v>
      </c>
      <c r="C8" s="38">
        <v>92.742379547689296</v>
      </c>
      <c r="D8" s="70">
        <v>92.217311568439158</v>
      </c>
      <c r="E8" s="70">
        <v>91.2812250394323</v>
      </c>
      <c r="F8" s="70">
        <v>89.028936236472632</v>
      </c>
      <c r="G8" s="70">
        <v>86.580714366041221</v>
      </c>
      <c r="H8" s="70">
        <v>72.207248044244892</v>
      </c>
      <c r="I8" s="39">
        <v>48.312465217403847</v>
      </c>
      <c r="J8" s="18" cm="1">
        <f t="array" ref="J8">-SUMPRODUCT((D1:H1-C1:G1)*(C8:G8+D8:H8)/2)</f>
        <v>80.808175243730489</v>
      </c>
      <c r="K8" s="18" cm="1">
        <f t="array" ref="K8">-SUMPRODUCT((D1:I1-C1:H1)*(C8:H8+D8:I8)/2)</f>
        <v>83.821168075271714</v>
      </c>
      <c r="L8" s="72" t="str">
        <f>"    "&amp;_xlfn.TEXTJOIN(", ",TRUE,C8:I8)&amp;","</f>
        <v xml:space="preserve">    92.7423795476893, 92.2173115684392, 91.2812250394323, 89.0289362364726, 86.5807143660412, 72.2072480442449, 48.3124652174038,</v>
      </c>
      <c r="M8" s="21" t="s">
        <v>15</v>
      </c>
      <c r="N8" s="19" t="s">
        <v>8</v>
      </c>
      <c r="O8" s="38">
        <v>3.5577266291648311</v>
      </c>
      <c r="P8" s="70">
        <v>3.5980330073511739</v>
      </c>
      <c r="Q8" s="70">
        <v>3.2113735233028682</v>
      </c>
      <c r="R8" s="70">
        <v>3.00646636749615</v>
      </c>
      <c r="S8" s="70">
        <v>3.1266644193920379</v>
      </c>
      <c r="T8" s="70">
        <v>4.6836871870767318</v>
      </c>
      <c r="U8" s="39">
        <v>4.9343093065934669</v>
      </c>
      <c r="V8" s="72" t="str">
        <f t="shared" si="0"/>
        <v xml:space="preserve">    3.55772662916483, 3.59803300735117, 3.21137352330287, 3.00646636749615, 3.12666441939204, 4.68368718707673, 4.93430930659347,</v>
      </c>
    </row>
    <row r="9" spans="1:22" ht="15.75" customHeight="1" thickBot="1" x14ac:dyDescent="0.25">
      <c r="A9" s="21" t="s">
        <v>16</v>
      </c>
      <c r="B9" s="19" t="s">
        <v>8</v>
      </c>
      <c r="C9" s="38">
        <v>92.91740412979351</v>
      </c>
      <c r="D9" s="70">
        <v>92.74631268436579</v>
      </c>
      <c r="E9" s="70">
        <v>91.539823008849552</v>
      </c>
      <c r="F9" s="70">
        <v>89.551680089504799</v>
      </c>
      <c r="G9" s="70">
        <v>87.763019864647063</v>
      </c>
      <c r="H9" s="70">
        <v>74.814983981983701</v>
      </c>
      <c r="I9" s="39">
        <v>49.226711880437257</v>
      </c>
      <c r="J9" s="18" cm="1">
        <f t="array" ref="J9">-SUMPRODUCT((D1:H1-C1:G1)*(C9:G9+D9:H9)/2)</f>
        <v>81.347517063296408</v>
      </c>
      <c r="K9" s="18" cm="1">
        <f t="array" ref="K9">-SUMPRODUCT((D1:I1-C1:H1)*(C9:H9+D9:I9)/2)</f>
        <v>84.448559459856938</v>
      </c>
      <c r="L9" s="72" t="str">
        <f>"    "&amp;_xlfn.TEXTJOIN(", ",TRUE,C9:I9)&amp;","</f>
        <v xml:space="preserve">    92.9174041297935, 92.7463126843658, 91.5398230088496, 89.5516800895048, 87.7630198646471, 74.8149839819837, 49.2267118804373,</v>
      </c>
      <c r="M9" s="21" t="s">
        <v>16</v>
      </c>
      <c r="N9" s="19" t="s">
        <v>8</v>
      </c>
      <c r="O9" s="38">
        <v>3.2602952642470671</v>
      </c>
      <c r="P9" s="70">
        <v>3.2890643807935769</v>
      </c>
      <c r="Q9" s="70">
        <v>2.950043258336025</v>
      </c>
      <c r="R9" s="70">
        <v>2.9662974071142099</v>
      </c>
      <c r="S9" s="70">
        <v>2.9581254267664092</v>
      </c>
      <c r="T9" s="70">
        <v>5.4962360619229749</v>
      </c>
      <c r="U9" s="39">
        <v>5.8657035603227596</v>
      </c>
      <c r="V9" s="72" t="str">
        <f t="shared" si="0"/>
        <v xml:space="preserve">    3.26029526424707, 3.28906438079358, 2.95004325833602, 2.96629740711421, 2.95812542676641, 5.49623606192297, 5.86570356032276,</v>
      </c>
    </row>
    <row r="10" spans="1:22" ht="15.75" customHeight="1" thickBot="1" x14ac:dyDescent="0.25">
      <c r="A10" s="4" t="s">
        <v>17</v>
      </c>
      <c r="B10" s="19" t="s">
        <v>8</v>
      </c>
      <c r="C10" s="40">
        <v>92.691248770894788</v>
      </c>
      <c r="D10" s="41">
        <v>92.706981317600793</v>
      </c>
      <c r="E10" s="41">
        <v>91.734513274336265</v>
      </c>
      <c r="F10" s="41">
        <v>88.867553640890762</v>
      </c>
      <c r="G10" s="41">
        <v>87.5647050003316</v>
      </c>
      <c r="H10" s="41">
        <v>75.623785672886441</v>
      </c>
      <c r="I10" s="42">
        <v>48.831339371447839</v>
      </c>
      <c r="J10" s="18" cm="1">
        <f t="array" ref="J10">-SUMPRODUCT((D1:H1-C1:G1)*(C10:G10+D10:H10)/2)</f>
        <v>81.271209742298794</v>
      </c>
      <c r="K10" s="18" cm="1">
        <f t="array" ref="K10">-SUMPRODUCT((D1:I1-C1:H1)*(C10:H10+D10:I10)/2)</f>
        <v>84.382587868407157</v>
      </c>
      <c r="L10" s="72" t="str">
        <f>"    "&amp;_xlfn.TEXTJOIN(", ",TRUE,C10:I10)&amp;","</f>
        <v xml:space="preserve">    92.6912487708948, 92.7069813176008, 91.7345132743363, 88.8675536408908, 87.5647050003316, 75.6237856728864, 48.8313393714478,</v>
      </c>
      <c r="M10" s="4" t="s">
        <v>17</v>
      </c>
      <c r="N10" s="19" t="s">
        <v>8</v>
      </c>
      <c r="O10" s="40">
        <v>3.1492092951527728</v>
      </c>
      <c r="P10" s="41">
        <v>3.3182076336991431</v>
      </c>
      <c r="Q10" s="41">
        <v>3.198166186176159</v>
      </c>
      <c r="R10" s="41">
        <v>3.1321269598885868</v>
      </c>
      <c r="S10" s="41">
        <v>3.0750631997727318</v>
      </c>
      <c r="T10" s="41">
        <v>5.166114204995413</v>
      </c>
      <c r="U10" s="42">
        <v>5.9316401890770027</v>
      </c>
      <c r="V10" s="72" t="str">
        <f t="shared" si="0"/>
        <v xml:space="preserve">    3.14920929515277, 3.31820763369914, 3.19816618617616, 3.13212695988859, 3.07506319977273, 5.16611420499541, 5.931640189077,</v>
      </c>
    </row>
    <row r="11" spans="1:22" ht="15.75" customHeight="1" thickBot="1" x14ac:dyDescent="0.25">
      <c r="A11" s="83" t="s">
        <v>22</v>
      </c>
      <c r="B11" s="87"/>
      <c r="C11" s="88"/>
      <c r="D11" s="88"/>
      <c r="E11" s="88"/>
      <c r="F11" s="88"/>
      <c r="G11" s="88"/>
      <c r="H11" s="88"/>
      <c r="I11" s="86"/>
      <c r="J11" s="18"/>
      <c r="K11" s="18"/>
      <c r="L11" s="72"/>
      <c r="M11" s="83" t="s">
        <v>22</v>
      </c>
      <c r="N11" s="87"/>
      <c r="O11" s="88"/>
      <c r="P11" s="88"/>
      <c r="Q11" s="88"/>
      <c r="R11" s="88"/>
      <c r="S11" s="88"/>
      <c r="T11" s="88"/>
      <c r="U11" s="86"/>
      <c r="V11" s="72"/>
    </row>
    <row r="12" spans="1:22" ht="15.75" customHeight="1" thickBot="1" x14ac:dyDescent="0.25">
      <c r="A12" s="83" t="s">
        <v>9</v>
      </c>
      <c r="B12" s="84"/>
      <c r="C12" s="52">
        <v>92.969518190757128</v>
      </c>
      <c r="D12" s="53">
        <v>91.851524090462149</v>
      </c>
      <c r="E12" s="53">
        <v>90.756145526057011</v>
      </c>
      <c r="F12" s="53">
        <v>87.253136561158271</v>
      </c>
      <c r="G12" s="53">
        <v>81.178972136437139</v>
      </c>
      <c r="H12" s="53">
        <v>57.386929529378847</v>
      </c>
      <c r="I12" s="54">
        <v>44.855442809482213</v>
      </c>
      <c r="J12" s="18" cm="1">
        <f t="array" ref="J12">-SUMPRODUCT((D1:H1-C1:G1)*(C12:G12+D12:H12)/2)</f>
        <v>79.079417714109411</v>
      </c>
      <c r="K12" s="18" cm="1">
        <f t="array" ref="K12">-SUMPRODUCT((D1:I1-C1:H1)*(C12:H12+D12:I12)/2)</f>
        <v>81.635477022580943</v>
      </c>
      <c r="L12" s="72" t="str">
        <f>"    "&amp;_xlfn.TEXTJOIN(", ",TRUE,C12:I12)&amp;","</f>
        <v xml:space="preserve">    92.9695181907571, 91.8515240904621, 90.756145526057, 87.2531365611583, 81.1789721364371, 57.3869295293788, 44.8554428094822,</v>
      </c>
      <c r="M12" s="83" t="s">
        <v>9</v>
      </c>
      <c r="N12" s="84"/>
      <c r="O12" s="52">
        <v>3.3991921823554931</v>
      </c>
      <c r="P12" s="53">
        <v>3.6561489783789969</v>
      </c>
      <c r="Q12" s="53">
        <v>3.4316179388806831</v>
      </c>
      <c r="R12" s="53">
        <v>3.3610781227617821</v>
      </c>
      <c r="S12" s="53">
        <v>5.2773835873092807</v>
      </c>
      <c r="T12" s="53">
        <v>8.2027130196510409</v>
      </c>
      <c r="U12" s="54">
        <v>5.203571843512913</v>
      </c>
      <c r="V12" s="72" t="str">
        <f t="shared" ref="V12:V15" si="1">"    "&amp;_xlfn.TEXTJOIN(", ",TRUE,O12:U12)&amp;","</f>
        <v xml:space="preserve">    3.39919218235549, 3.656148978379, 3.43161793888068, 3.36107812276178, 5.27738358730928, 8.20271301965104, 5.20357184351291,</v>
      </c>
    </row>
    <row r="13" spans="1:22" ht="15.75" customHeight="1" thickBot="1" x14ac:dyDescent="0.25">
      <c r="A13" s="85" t="s">
        <v>10</v>
      </c>
      <c r="B13" s="86"/>
      <c r="C13" s="55">
        <v>91.898721730580135</v>
      </c>
      <c r="D13" s="56">
        <v>90.765995668936</v>
      </c>
      <c r="E13" s="56">
        <v>89.705268500015848</v>
      </c>
      <c r="F13" s="56">
        <v>87.959685349065893</v>
      </c>
      <c r="G13" s="56">
        <v>85.750000720882824</v>
      </c>
      <c r="H13" s="56">
        <v>71.387388010853613</v>
      </c>
      <c r="I13" s="57">
        <v>45.596343105620853</v>
      </c>
      <c r="J13" s="18" cm="1">
        <f t="array" ref="J13">-SUMPRODUCT((D1:H1-C1:G1)*(C13:G13+D13:H13)/2)</f>
        <v>79.700846821050931</v>
      </c>
      <c r="K13" s="18" cm="1">
        <f t="array" ref="K13">-SUMPRODUCT((D1:I1-C1:H1)*(C13:H13+D13:I13)/2)</f>
        <v>82.625440098962798</v>
      </c>
      <c r="L13" s="72" t="str">
        <f>"    "&amp;_xlfn.TEXTJOIN(", ",TRUE,C13:I13)&amp;","</f>
        <v xml:space="preserve">    91.8987217305801, 90.765995668936, 89.7052685000158, 87.9596853490659, 85.7500007208828, 71.3873880108536, 45.5963431056209,</v>
      </c>
      <c r="M13" s="83" t="s">
        <v>10</v>
      </c>
      <c r="N13" s="84"/>
      <c r="O13" s="55">
        <v>3.190312271555559</v>
      </c>
      <c r="P13" s="56">
        <v>2.8828036064622768</v>
      </c>
      <c r="Q13" s="56">
        <v>2.5884740771146331</v>
      </c>
      <c r="R13" s="56">
        <v>2.6213450470877251</v>
      </c>
      <c r="S13" s="56">
        <v>3.203569989687661</v>
      </c>
      <c r="T13" s="56">
        <v>4.756712112750666</v>
      </c>
      <c r="U13" s="57">
        <v>2.488810891584841</v>
      </c>
      <c r="V13" s="72" t="str">
        <f t="shared" si="1"/>
        <v xml:space="preserve">    3.19031227155556, 2.88280360646228, 2.58847407711463, 2.62134504708773, 3.20356998968766, 4.75671211275067, 2.48881089158484,</v>
      </c>
    </row>
    <row r="14" spans="1:22" ht="15.75" customHeight="1" thickBot="1" x14ac:dyDescent="0.25">
      <c r="A14" s="83" t="s">
        <v>18</v>
      </c>
      <c r="B14" s="84"/>
      <c r="C14" s="55">
        <v>93.044276622923505</v>
      </c>
      <c r="D14" s="56">
        <v>91.935155148400938</v>
      </c>
      <c r="E14" s="56">
        <v>90.94889229145582</v>
      </c>
      <c r="F14" s="56">
        <v>85.952505356159378</v>
      </c>
      <c r="G14" s="56">
        <v>78.915183810701947</v>
      </c>
      <c r="H14" s="56">
        <v>59.442100133507502</v>
      </c>
      <c r="I14" s="57">
        <v>49.533828147302302</v>
      </c>
      <c r="J14" s="18" cm="1">
        <f t="array" ref="J14">-SUMPRODUCT((D1:H1-C1:G1)*(C14:G14+D14:H14)/2)</f>
        <v>78.834323321712716</v>
      </c>
      <c r="K14" s="18" cm="1">
        <f t="array" ref="K14">-SUMPRODUCT((D1:I1-C1:H1)*(C14:H14+D14:I14)/2)</f>
        <v>81.55872152873296</v>
      </c>
      <c r="L14" s="72" t="str">
        <f>"    "&amp;_xlfn.TEXTJOIN(", ",TRUE,C14:I14)&amp;","</f>
        <v xml:space="preserve">    93.0442766229235, 91.9351551484009, 90.9488922914558, 85.9525053561594, 78.9151838107019, 59.4421001335075, 49.5338281473023,</v>
      </c>
      <c r="M14" s="83" t="s">
        <v>18</v>
      </c>
      <c r="N14" s="84"/>
      <c r="O14" s="55">
        <v>3.72078192123604</v>
      </c>
      <c r="P14" s="56">
        <v>4.0467152776216686</v>
      </c>
      <c r="Q14" s="56">
        <v>4.0235763627769954</v>
      </c>
      <c r="R14" s="56">
        <v>4.4767633212331157</v>
      </c>
      <c r="S14" s="56">
        <v>7.2019016527503927</v>
      </c>
      <c r="T14" s="56">
        <v>10.04668436860082</v>
      </c>
      <c r="U14" s="57">
        <v>9.2355901481835172</v>
      </c>
      <c r="V14" s="72" t="str">
        <f t="shared" si="1"/>
        <v xml:space="preserve">    3.72078192123604, 4.04671527762167, 4.023576362777, 4.47676332123312, 7.20190165275039, 10.0466843686008, 9.23559014818352,</v>
      </c>
    </row>
    <row r="15" spans="1:22" ht="15.75" customHeight="1" thickBot="1" x14ac:dyDescent="0.25">
      <c r="A15" s="83" t="s">
        <v>19</v>
      </c>
      <c r="B15" s="84"/>
      <c r="C15" s="58">
        <v>93.174110502686005</v>
      </c>
      <c r="D15" s="59">
        <v>91.391724841910417</v>
      </c>
      <c r="E15" s="59">
        <v>89.591539142495463</v>
      </c>
      <c r="F15" s="59">
        <v>84.690597092823751</v>
      </c>
      <c r="G15" s="59">
        <v>76.401347185817656</v>
      </c>
      <c r="H15" s="59">
        <v>59.963667505774268</v>
      </c>
      <c r="I15" s="60">
        <v>47.725577210875521</v>
      </c>
      <c r="J15" s="18" cm="1">
        <f t="array" ref="J15">-SUMPRODUCT((D1:H1-C1:G1)*(C15:G15+D15:H15)/2)</f>
        <v>77.994698988168864</v>
      </c>
      <c r="K15" s="18" cm="1">
        <f t="array" ref="K15">-SUMPRODUCT((D1:I1-C1:H1)*(C15:H15+D15:I15)/2)</f>
        <v>80.686930106085114</v>
      </c>
      <c r="L15" s="72" t="str">
        <f>"    "&amp;_xlfn.TEXTJOIN(", ",TRUE,C15:I15)&amp;","</f>
        <v xml:space="preserve">    93.174110502686, 91.3917248419104, 89.5915391424955, 84.6905970928238, 76.4013471858177, 59.9636675057743, 47.7255772108755,</v>
      </c>
      <c r="M15" s="83" t="s">
        <v>19</v>
      </c>
      <c r="N15" s="84"/>
      <c r="O15" s="58">
        <v>3.8766021792735019</v>
      </c>
      <c r="P15" s="59">
        <v>4.8126411406228078</v>
      </c>
      <c r="Q15" s="59">
        <v>4.6512210016047986</v>
      </c>
      <c r="R15" s="59">
        <v>5.2416066355763284</v>
      </c>
      <c r="S15" s="59">
        <v>8.0769588602235256</v>
      </c>
      <c r="T15" s="59">
        <v>10.657363307561541</v>
      </c>
      <c r="U15" s="60">
        <v>9.200486032966916</v>
      </c>
      <c r="V15" s="72" t="str">
        <f t="shared" si="1"/>
        <v xml:space="preserve">    3.8766021792735, 4.81264114062281, 4.6512210016048, 5.24160663557633, 8.07695886022353, 10.6573633075615, 9.20048603296692,</v>
      </c>
    </row>
    <row r="16" spans="1:22" ht="15" thickBo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73"/>
      <c r="M16" s="23"/>
      <c r="N16" s="23"/>
      <c r="O16" s="23"/>
      <c r="P16" s="23"/>
      <c r="Q16" s="23"/>
      <c r="R16" s="23"/>
      <c r="S16" s="23"/>
      <c r="T16" s="23"/>
      <c r="U16" s="23"/>
      <c r="V16" s="73"/>
    </row>
    <row r="17" spans="1:22" ht="15.75" thickBot="1" x14ac:dyDescent="0.25">
      <c r="A17" s="6" t="s">
        <v>4</v>
      </c>
      <c r="B17" s="7" t="s">
        <v>1</v>
      </c>
      <c r="C17" s="8">
        <v>1</v>
      </c>
      <c r="D17" s="8">
        <v>0.75</v>
      </c>
      <c r="E17" s="8">
        <v>0.5</v>
      </c>
      <c r="F17" s="8">
        <v>0.3</v>
      </c>
      <c r="G17" s="8">
        <v>0.2</v>
      </c>
      <c r="H17" s="8">
        <v>0.1</v>
      </c>
      <c r="I17" s="7">
        <v>0.05</v>
      </c>
      <c r="J17" s="14"/>
      <c r="K17" s="14"/>
      <c r="L17" s="74"/>
      <c r="M17" s="6" t="s">
        <v>5</v>
      </c>
      <c r="N17" s="7" t="s">
        <v>1</v>
      </c>
      <c r="O17" s="9">
        <v>1</v>
      </c>
      <c r="P17" s="9">
        <v>0.75</v>
      </c>
      <c r="Q17" s="9">
        <v>0.5</v>
      </c>
      <c r="R17" s="9">
        <v>0.3</v>
      </c>
      <c r="S17" s="9">
        <v>0.2</v>
      </c>
      <c r="T17" s="9">
        <v>0.1</v>
      </c>
      <c r="U17" s="10">
        <v>0.05</v>
      </c>
      <c r="V17" s="74"/>
    </row>
    <row r="18" spans="1:22" ht="15.75" thickBot="1" x14ac:dyDescent="0.25">
      <c r="A18" s="77" t="s">
        <v>20</v>
      </c>
      <c r="B18" s="79"/>
      <c r="C18" s="79"/>
      <c r="D18" s="79"/>
      <c r="E18" s="79"/>
      <c r="F18" s="79"/>
      <c r="G18" s="79"/>
      <c r="H18" s="79"/>
      <c r="I18" s="78"/>
      <c r="J18" s="14"/>
      <c r="K18" s="14"/>
      <c r="L18" s="74"/>
      <c r="M18" s="77" t="s">
        <v>20</v>
      </c>
      <c r="N18" s="79"/>
      <c r="O18" s="79"/>
      <c r="P18" s="79"/>
      <c r="Q18" s="79"/>
      <c r="R18" s="79"/>
      <c r="S18" s="79"/>
      <c r="T18" s="79"/>
      <c r="U18" s="78"/>
      <c r="V18" s="74"/>
    </row>
    <row r="19" spans="1:22" ht="15.75" thickBot="1" x14ac:dyDescent="0.25">
      <c r="A19" s="77" t="s">
        <v>6</v>
      </c>
      <c r="B19" s="78"/>
      <c r="C19" s="25">
        <v>92.567111769713335</v>
      </c>
      <c r="D19" s="25">
        <v>90.835858608343599</v>
      </c>
      <c r="E19" s="25">
        <v>89.217505339533233</v>
      </c>
      <c r="F19" s="25">
        <v>83.237245964288078</v>
      </c>
      <c r="G19" s="25">
        <v>75.380430844191011</v>
      </c>
      <c r="H19" s="25">
        <v>58.994367187597383</v>
      </c>
      <c r="I19" s="26">
        <v>43.622535641382179</v>
      </c>
      <c r="J19" s="24"/>
      <c r="K19" s="24"/>
      <c r="L19" s="74" t="str">
        <f>"    "&amp;_xlfn.TEXTJOIN(", ",TRUE,C19:I19)&amp;","</f>
        <v xml:space="preserve">    92.5671117697133, 90.8358586083436, 89.2175053395332, 83.2372459642881, 75.380430844191, 58.9943671875974, 43.6225356413822,</v>
      </c>
      <c r="M19" s="77" t="s">
        <v>2</v>
      </c>
      <c r="N19" s="78"/>
      <c r="O19" s="27">
        <v>3.88093621561358</v>
      </c>
      <c r="P19" s="25">
        <v>4.8164746829677396</v>
      </c>
      <c r="Q19" s="25">
        <v>5.2250608386616522</v>
      </c>
      <c r="R19" s="25">
        <v>5.6675721086724113</v>
      </c>
      <c r="S19" s="25">
        <v>8.3263283482936075</v>
      </c>
      <c r="T19" s="25">
        <v>10.49020927094638</v>
      </c>
      <c r="U19" s="26">
        <v>11.060437347759546</v>
      </c>
      <c r="V19" s="74" t="str">
        <f>"    "&amp;_xlfn.TEXTJOIN(", ",TRUE,O19:U19)&amp;","</f>
        <v xml:space="preserve">    3.88093621561358, 4.81647468296774, 5.22506083866165, 5.66757210867241, 8.32632834829361, 10.4902092709464, 11.0604373477595,</v>
      </c>
    </row>
    <row r="20" spans="1:22" ht="15.75" thickBot="1" x14ac:dyDescent="0.25">
      <c r="A20" s="77" t="s">
        <v>7</v>
      </c>
      <c r="B20" s="78"/>
      <c r="C20" s="25">
        <v>92.866950218042462</v>
      </c>
      <c r="D20" s="25">
        <v>91.242690764745561</v>
      </c>
      <c r="E20" s="25">
        <v>90.137053227698445</v>
      </c>
      <c r="F20" s="25">
        <v>86.080152926613408</v>
      </c>
      <c r="G20" s="25">
        <v>77.410217255196784</v>
      </c>
      <c r="H20" s="25">
        <v>59.676194764980139</v>
      </c>
      <c r="I20" s="26">
        <v>46.395490419404197</v>
      </c>
      <c r="J20" s="24"/>
      <c r="K20" s="24"/>
      <c r="L20" s="74" t="str">
        <f>"    "&amp;_xlfn.TEXTJOIN(", ",TRUE,C20:I20)&amp;","</f>
        <v xml:space="preserve">    92.8669502180425, 91.2426907647456, 90.1370532276984, 86.0801529266134, 77.4102172551968, 59.6761947649801, 46.3954904194042,</v>
      </c>
      <c r="M20" s="77" t="s">
        <v>7</v>
      </c>
      <c r="N20" s="78"/>
      <c r="O20" s="25">
        <v>3.8319643020864191</v>
      </c>
      <c r="P20" s="25">
        <v>4.3603246705255447</v>
      </c>
      <c r="Q20" s="25">
        <v>4.7987735191879262</v>
      </c>
      <c r="R20" s="25">
        <v>5.1262965367330251</v>
      </c>
      <c r="S20" s="25">
        <v>7.087258799823358</v>
      </c>
      <c r="T20" s="25">
        <v>9.7457736576346736</v>
      </c>
      <c r="U20" s="26">
        <v>10.021578856839133</v>
      </c>
      <c r="V20" s="74" t="str">
        <f t="shared" ref="V20:V32" si="2">"    "&amp;_xlfn.TEXTJOIN(", ",TRUE,O20:U20)&amp;","</f>
        <v xml:space="preserve">    3.83196430208642, 4.36032467052554, 4.79877351918793, 5.12629653673303, 7.08725879982336, 9.74577365763467, 10.0215788568391,</v>
      </c>
    </row>
    <row r="21" spans="1:22" ht="15.75" thickBot="1" x14ac:dyDescent="0.25">
      <c r="A21" s="77" t="s">
        <v>12</v>
      </c>
      <c r="B21" s="78"/>
      <c r="C21" s="30">
        <v>87.268396410214976</v>
      </c>
      <c r="D21" s="31">
        <v>87.256428398686779</v>
      </c>
      <c r="E21" s="31">
        <v>87.822106304170404</v>
      </c>
      <c r="F21" s="31">
        <v>87.68072644235157</v>
      </c>
      <c r="G21" s="31">
        <v>87.144879367185226</v>
      </c>
      <c r="H21" s="31">
        <v>74.976567886515753</v>
      </c>
      <c r="I21" s="32">
        <v>46.41754739488244</v>
      </c>
      <c r="J21" s="24"/>
      <c r="K21" s="24"/>
      <c r="L21" s="74" t="str">
        <f t="shared" ref="L21:L27" si="3">"    "&amp;_xlfn.TEXTJOIN(", ",TRUE,C21:I21)&amp;","</f>
        <v xml:space="preserve">    87.268396410215, 87.2564283986868, 87.8221063041704, 87.6807264423516, 87.1448793671852, 74.9765678865158, 46.4175473948824,</v>
      </c>
      <c r="M21" s="77" t="s">
        <v>12</v>
      </c>
      <c r="N21" s="78"/>
      <c r="O21" s="30">
        <v>2.610595868561878</v>
      </c>
      <c r="P21" s="31">
        <v>2.3209805270224559</v>
      </c>
      <c r="Q21" s="31">
        <v>2.4426244152699921</v>
      </c>
      <c r="R21" s="31">
        <v>2.2821255442986761</v>
      </c>
      <c r="S21" s="31">
        <v>2.523131741400912</v>
      </c>
      <c r="T21" s="31">
        <v>3.7626100419371111</v>
      </c>
      <c r="U21" s="32">
        <v>4.1161081119796732</v>
      </c>
      <c r="V21" s="74" t="str">
        <f t="shared" si="2"/>
        <v xml:space="preserve">    2.61059586856188, 2.32098052702246, 2.44262441526999, 2.28212554429868, 2.52313174140091, 3.76261004193711, 4.11610811197967,</v>
      </c>
    </row>
    <row r="22" spans="1:22" ht="15.75" thickBot="1" x14ac:dyDescent="0.25">
      <c r="A22" s="77" t="s">
        <v>21</v>
      </c>
      <c r="B22" s="79"/>
      <c r="C22" s="79"/>
      <c r="D22" s="79"/>
      <c r="E22" s="79"/>
      <c r="F22" s="79"/>
      <c r="G22" s="79"/>
      <c r="H22" s="79"/>
      <c r="I22" s="78"/>
      <c r="J22" s="24"/>
      <c r="K22" s="24"/>
      <c r="L22" s="74"/>
      <c r="M22" s="77" t="s">
        <v>21</v>
      </c>
      <c r="N22" s="79"/>
      <c r="O22" s="79"/>
      <c r="P22" s="79"/>
      <c r="Q22" s="79"/>
      <c r="R22" s="79"/>
      <c r="S22" s="79"/>
      <c r="T22" s="79"/>
      <c r="U22" s="78"/>
      <c r="V22" s="74"/>
    </row>
    <row r="23" spans="1:22" ht="15.75" thickBot="1" x14ac:dyDescent="0.25">
      <c r="A23" s="28" t="s">
        <v>13</v>
      </c>
      <c r="B23" s="20" t="s">
        <v>8</v>
      </c>
      <c r="C23" s="43">
        <v>92.834403050032634</v>
      </c>
      <c r="D23" s="44">
        <v>91.627650103156782</v>
      </c>
      <c r="E23" s="44">
        <v>90.687312631262884</v>
      </c>
      <c r="F23" s="44">
        <v>88.30825526967557</v>
      </c>
      <c r="G23" s="44">
        <v>85.429199486599245</v>
      </c>
      <c r="H23" s="44">
        <v>68.035140098312837</v>
      </c>
      <c r="I23" s="45">
        <v>43.776567896504652</v>
      </c>
      <c r="J23" s="24"/>
      <c r="K23" s="24"/>
      <c r="L23" s="74" t="str">
        <f t="shared" si="3"/>
        <v xml:space="preserve">    92.8344030500326, 91.6276501031568, 90.6873126312629, 88.3082552696756, 85.4291994865992, 68.0351400983128, 43.7765678965047,</v>
      </c>
      <c r="M23" s="28" t="s">
        <v>13</v>
      </c>
      <c r="N23" s="20" t="s">
        <v>8</v>
      </c>
      <c r="O23" s="43">
        <v>3.7323809108097912</v>
      </c>
      <c r="P23" s="44">
        <v>4.2009634245244589</v>
      </c>
      <c r="Q23" s="44">
        <v>3.8072880194941492</v>
      </c>
      <c r="R23" s="44">
        <v>3.2247128943612098</v>
      </c>
      <c r="S23" s="44">
        <v>3.521493677525851</v>
      </c>
      <c r="T23" s="44">
        <v>6.7440086371409373</v>
      </c>
      <c r="U23" s="45">
        <v>5.8871667869216564</v>
      </c>
      <c r="V23" s="74" t="str">
        <f t="shared" si="2"/>
        <v xml:space="preserve">    3.73238091080979, 4.20096342452446, 3.80728801949415, 3.22471289436121, 3.52149367752585, 6.74400863714094, 5.88716678692166,</v>
      </c>
    </row>
    <row r="24" spans="1:22" ht="15.75" thickBot="1" x14ac:dyDescent="0.25">
      <c r="A24" s="28" t="s">
        <v>14</v>
      </c>
      <c r="B24" s="20" t="s">
        <v>8</v>
      </c>
      <c r="C24" s="46">
        <v>92.570408482055413</v>
      </c>
      <c r="D24" s="71">
        <v>91.777711886270112</v>
      </c>
      <c r="E24" s="71">
        <v>90.862610398462166</v>
      </c>
      <c r="F24" s="71">
        <v>88.199934717284805</v>
      </c>
      <c r="G24" s="71">
        <v>86.148115447134288</v>
      </c>
      <c r="H24" s="71">
        <v>70.270013624247539</v>
      </c>
      <c r="I24" s="47">
        <v>45.769145321975358</v>
      </c>
      <c r="J24" s="24"/>
      <c r="K24" s="24"/>
      <c r="L24" s="74" t="str">
        <f t="shared" si="3"/>
        <v xml:space="preserve">    92.5704084820554, 91.7777118862701, 90.8626103984622, 88.1999347172848, 86.1481154471343, 70.2700136242475, 45.7691453219754,</v>
      </c>
      <c r="M24" s="28" t="s">
        <v>14</v>
      </c>
      <c r="N24" s="20" t="s">
        <v>8</v>
      </c>
      <c r="O24" s="46">
        <v>3.9917532180034332</v>
      </c>
      <c r="P24" s="71">
        <v>3.8758943595963049</v>
      </c>
      <c r="Q24" s="71">
        <v>3.690400492102619</v>
      </c>
      <c r="R24" s="71">
        <v>3.1577925332934118</v>
      </c>
      <c r="S24" s="71">
        <v>3.482551615729339</v>
      </c>
      <c r="T24" s="71">
        <v>5.8931038408291174</v>
      </c>
      <c r="U24" s="47">
        <v>4.6113240055125742</v>
      </c>
      <c r="V24" s="74" t="str">
        <f t="shared" si="2"/>
        <v xml:space="preserve">    3.99175321800343, 3.8758943595963, 3.69040049210262, 3.15779253329341, 3.48255161572934, 5.89310384082912, 4.61132400551257,</v>
      </c>
    </row>
    <row r="25" spans="1:22" ht="15.75" thickBot="1" x14ac:dyDescent="0.25">
      <c r="A25" s="28" t="s">
        <v>15</v>
      </c>
      <c r="B25" s="20" t="s">
        <v>8</v>
      </c>
      <c r="C25" s="46">
        <v>92.329579684536412</v>
      </c>
      <c r="D25" s="71">
        <v>91.762945653878575</v>
      </c>
      <c r="E25" s="71">
        <v>90.87342749824478</v>
      </c>
      <c r="F25" s="71">
        <v>88.699349645839959</v>
      </c>
      <c r="G25" s="71">
        <v>86.39559434813944</v>
      </c>
      <c r="H25" s="71">
        <v>71.930170365071973</v>
      </c>
      <c r="I25" s="47">
        <v>46.496036978427</v>
      </c>
      <c r="J25" s="24"/>
      <c r="K25" s="24"/>
      <c r="L25" s="74" t="str">
        <f t="shared" si="3"/>
        <v xml:space="preserve">    92.3295796845364, 91.7629456538786, 90.8734274982448, 88.69934964584, 86.3955943481394, 71.930170365072, 46.496036978427,</v>
      </c>
      <c r="M25" s="28" t="s">
        <v>15</v>
      </c>
      <c r="N25" s="20" t="s">
        <v>8</v>
      </c>
      <c r="O25" s="46">
        <v>3.936808556374205</v>
      </c>
      <c r="P25" s="71">
        <v>3.9242398264590239</v>
      </c>
      <c r="Q25" s="71">
        <v>3.506011003499776</v>
      </c>
      <c r="R25" s="71">
        <v>3.1354282482648008</v>
      </c>
      <c r="S25" s="71">
        <v>3.1989180447415322</v>
      </c>
      <c r="T25" s="71">
        <v>4.8046147796295351</v>
      </c>
      <c r="U25" s="47">
        <v>5.1308639155298703</v>
      </c>
      <c r="V25" s="74" t="str">
        <f t="shared" si="2"/>
        <v xml:space="preserve">    3.93680855637421, 3.92423982645902, 3.50601100349978, 3.1354282482648, 3.19891804474153, 4.80461477962954, 5.13086391552987,</v>
      </c>
    </row>
    <row r="26" spans="1:22" ht="15.75" thickBot="1" x14ac:dyDescent="0.25">
      <c r="A26" s="28" t="s">
        <v>16</v>
      </c>
      <c r="B26" s="20" t="s">
        <v>8</v>
      </c>
      <c r="C26" s="46">
        <v>92.486318878742424</v>
      </c>
      <c r="D26" s="71">
        <v>92.314674949419512</v>
      </c>
      <c r="E26" s="71">
        <v>91.072914981333341</v>
      </c>
      <c r="F26" s="71">
        <v>89.179601735120585</v>
      </c>
      <c r="G26" s="71">
        <v>87.463981381742258</v>
      </c>
      <c r="H26" s="71">
        <v>74.634073311670562</v>
      </c>
      <c r="I26" s="47">
        <v>47.850373732617861</v>
      </c>
      <c r="J26" s="24"/>
      <c r="K26" s="24"/>
      <c r="L26" s="74" t="str">
        <f t="shared" si="3"/>
        <v xml:space="preserve">    92.4863188787424, 92.3146749494195, 91.0729149813333, 89.1796017351206, 87.4639813817423, 74.6340733116706, 47.8503737326179,</v>
      </c>
      <c r="M26" s="28" t="s">
        <v>16</v>
      </c>
      <c r="N26" s="20" t="s">
        <v>8</v>
      </c>
      <c r="O26" s="46">
        <v>3.5433570503853651</v>
      </c>
      <c r="P26" s="71">
        <v>3.6276799560442932</v>
      </c>
      <c r="Q26" s="71">
        <v>3.2148388665627978</v>
      </c>
      <c r="R26" s="71">
        <v>3.1514844491869618</v>
      </c>
      <c r="S26" s="71">
        <v>3.0835757380091389</v>
      </c>
      <c r="T26" s="71">
        <v>5.5553189785323047</v>
      </c>
      <c r="U26" s="47">
        <v>5.9411267054027839</v>
      </c>
      <c r="V26" s="74" t="str">
        <f t="shared" si="2"/>
        <v xml:space="preserve">    3.54335705038537, 3.62767995604429, 3.2148388665628, 3.15148444918696, 3.08357573800914, 5.5553189785323, 5.94112670540278,</v>
      </c>
    </row>
    <row r="27" spans="1:22" ht="15.75" thickBot="1" x14ac:dyDescent="0.25">
      <c r="A27" s="29" t="s">
        <v>17</v>
      </c>
      <c r="B27" s="20" t="s">
        <v>8</v>
      </c>
      <c r="C27" s="48">
        <v>92.311293413260969</v>
      </c>
      <c r="D27" s="49">
        <v>92.333521756806476</v>
      </c>
      <c r="E27" s="49">
        <v>91.381357522919643</v>
      </c>
      <c r="F27" s="49">
        <v>88.560101371956989</v>
      </c>
      <c r="G27" s="49">
        <v>87.278991705998607</v>
      </c>
      <c r="H27" s="49">
        <v>75.38789705567028</v>
      </c>
      <c r="I27" s="50">
        <v>47.478737907175287</v>
      </c>
      <c r="J27" s="24"/>
      <c r="K27" s="24"/>
      <c r="L27" s="74" t="str">
        <f t="shared" si="3"/>
        <v xml:space="preserve">    92.311293413261, 92.3335217568065, 91.3813575229196, 88.560101371957, 87.2789917059986, 75.3878970556703, 47.4787379071753,</v>
      </c>
      <c r="M27" s="29" t="s">
        <v>17</v>
      </c>
      <c r="N27" s="20" t="s">
        <v>8</v>
      </c>
      <c r="O27" s="48">
        <v>3.45837660705662</v>
      </c>
      <c r="P27" s="49">
        <v>3.6213315124355141</v>
      </c>
      <c r="Q27" s="49">
        <v>3.418827656161032</v>
      </c>
      <c r="R27" s="49">
        <v>3.2543979140806938</v>
      </c>
      <c r="S27" s="49">
        <v>3.202126822778443</v>
      </c>
      <c r="T27" s="49">
        <v>5.2358921781492196</v>
      </c>
      <c r="U27" s="50">
        <v>6.1375770825509051</v>
      </c>
      <c r="V27" s="74" t="str">
        <f t="shared" si="2"/>
        <v xml:space="preserve">    3.45837660705662, 3.62133151243551, 3.41882765616103, 3.25439791408069, 3.20212682277844, 5.23589217814922, 6.13757708255091,</v>
      </c>
    </row>
    <row r="28" spans="1:22" ht="15.75" thickBot="1" x14ac:dyDescent="0.25">
      <c r="A28" s="77" t="s">
        <v>22</v>
      </c>
      <c r="B28" s="79"/>
      <c r="C28" s="80"/>
      <c r="D28" s="80"/>
      <c r="E28" s="80"/>
      <c r="F28" s="80"/>
      <c r="G28" s="80"/>
      <c r="H28" s="80"/>
      <c r="I28" s="81"/>
      <c r="J28" s="24"/>
      <c r="K28" s="24"/>
      <c r="L28" s="74"/>
      <c r="M28" s="77" t="s">
        <v>22</v>
      </c>
      <c r="N28" s="79"/>
      <c r="O28" s="80"/>
      <c r="P28" s="80"/>
      <c r="Q28" s="80"/>
      <c r="R28" s="80"/>
      <c r="S28" s="80"/>
      <c r="T28" s="80"/>
      <c r="U28" s="81"/>
      <c r="V28" s="74"/>
    </row>
    <row r="29" spans="1:22" ht="14.25" customHeight="1" thickBot="1" x14ac:dyDescent="0.25">
      <c r="A29" s="77" t="s">
        <v>9</v>
      </c>
      <c r="B29" s="78"/>
      <c r="C29" s="61">
        <v>92.603769819293618</v>
      </c>
      <c r="D29" s="62">
        <v>91.431947068352812</v>
      </c>
      <c r="E29" s="62">
        <v>90.390795042999585</v>
      </c>
      <c r="F29" s="62">
        <v>86.789562828222273</v>
      </c>
      <c r="G29" s="62">
        <v>80.615554033052248</v>
      </c>
      <c r="H29" s="62">
        <v>56.609578553133908</v>
      </c>
      <c r="I29" s="63">
        <v>41.27928062292434</v>
      </c>
      <c r="J29" s="24"/>
      <c r="K29" s="24"/>
      <c r="L29" s="74" t="str">
        <f t="shared" ref="L29:L32" si="4">"    "&amp;_xlfn.TEXTJOIN(", ",TRUE,C29:I29)&amp;","</f>
        <v xml:space="preserve">    92.6037698192936, 91.4319470683528, 90.3907950429996, 86.7895628282223, 80.6155540330522, 56.6095785531339, 41.2792806229243,</v>
      </c>
      <c r="M29" s="77" t="s">
        <v>9</v>
      </c>
      <c r="N29" s="78"/>
      <c r="O29" s="61">
        <v>3.708759274801273</v>
      </c>
      <c r="P29" s="62">
        <v>3.9640390541215931</v>
      </c>
      <c r="Q29" s="62">
        <v>3.7067998106756881</v>
      </c>
      <c r="R29" s="62">
        <v>3.667452632531309</v>
      </c>
      <c r="S29" s="62">
        <v>5.7548227051500218</v>
      </c>
      <c r="T29" s="62">
        <v>8.5366536877555248</v>
      </c>
      <c r="U29" s="63">
        <v>6.3187793027043018</v>
      </c>
      <c r="V29" s="74" t="str">
        <f t="shared" si="2"/>
        <v xml:space="preserve">    3.70875927480127, 3.96403905412159, 3.70679981067569, 3.66745263253131, 5.75482270515002, 8.53665368775552, 6.3187793027043,</v>
      </c>
    </row>
    <row r="30" spans="1:22" ht="15.75" thickBot="1" x14ac:dyDescent="0.25">
      <c r="A30" s="82" t="s">
        <v>10</v>
      </c>
      <c r="B30" s="81"/>
      <c r="C30" s="64">
        <v>91.377634404932721</v>
      </c>
      <c r="D30" s="65">
        <v>90.405373333245066</v>
      </c>
      <c r="E30" s="65">
        <v>89.371480308332721</v>
      </c>
      <c r="F30" s="65">
        <v>87.60989862639515</v>
      </c>
      <c r="G30" s="65">
        <v>85.537230701510694</v>
      </c>
      <c r="H30" s="65">
        <v>70.930708745421484</v>
      </c>
      <c r="I30" s="66">
        <v>44.097326232806537</v>
      </c>
      <c r="J30" s="24"/>
      <c r="K30" s="24"/>
      <c r="L30" s="74" t="str">
        <f t="shared" si="4"/>
        <v xml:space="preserve">    91.3776344049327, 90.4053733332451, 89.3714803083327, 87.6098986263952, 85.5372307015107, 70.9307087454215, 44.0973262328065,</v>
      </c>
      <c r="M30" s="77" t="s">
        <v>10</v>
      </c>
      <c r="N30" s="78"/>
      <c r="O30" s="64">
        <v>3.5684194304484111</v>
      </c>
      <c r="P30" s="65">
        <v>3.0347581440341318</v>
      </c>
      <c r="Q30" s="65">
        <v>2.754130276526872</v>
      </c>
      <c r="R30" s="65">
        <v>2.7768782002466339</v>
      </c>
      <c r="S30" s="65">
        <v>3.3184641894178428</v>
      </c>
      <c r="T30" s="65">
        <v>4.9795199020249923</v>
      </c>
      <c r="U30" s="66">
        <v>2.9223071611371929</v>
      </c>
      <c r="V30" s="74" t="str">
        <f t="shared" si="2"/>
        <v xml:space="preserve">    3.56841943044841, 3.03475814403413, 2.75413027652687, 2.77687820024663, 3.31846418941784, 4.97951990202499, 2.92230716113719,</v>
      </c>
    </row>
    <row r="31" spans="1:22" ht="14.25" customHeight="1" thickBot="1" x14ac:dyDescent="0.25">
      <c r="A31" s="77" t="s">
        <v>18</v>
      </c>
      <c r="B31" s="78"/>
      <c r="C31" s="64">
        <v>92.603715202692385</v>
      </c>
      <c r="D31" s="65">
        <v>91.484997502720319</v>
      </c>
      <c r="E31" s="65">
        <v>90.630171299324857</v>
      </c>
      <c r="F31" s="65">
        <v>85.342034697064548</v>
      </c>
      <c r="G31" s="65">
        <v>78.208607944308184</v>
      </c>
      <c r="H31" s="65">
        <v>58.188767254712552</v>
      </c>
      <c r="I31" s="66">
        <v>45.468919562576168</v>
      </c>
      <c r="J31" s="24"/>
      <c r="K31" s="24"/>
      <c r="L31" s="74" t="str">
        <f t="shared" si="4"/>
        <v xml:space="preserve">    92.6037152026924, 91.4849975027203, 90.6301712993249, 85.3420346970645, 78.2086079443082, 58.1887672547126, 45.4689195625762,</v>
      </c>
      <c r="M31" s="77" t="s">
        <v>18</v>
      </c>
      <c r="N31" s="78"/>
      <c r="O31" s="64">
        <v>4.0727132923350373</v>
      </c>
      <c r="P31" s="65">
        <v>4.4231285957629458</v>
      </c>
      <c r="Q31" s="65">
        <v>4.3011534303531356</v>
      </c>
      <c r="R31" s="65">
        <v>4.8453894583465429</v>
      </c>
      <c r="S31" s="65">
        <v>7.5589700135942426</v>
      </c>
      <c r="T31" s="65">
        <v>10.3740336621021</v>
      </c>
      <c r="U31" s="66">
        <v>10.707618741543239</v>
      </c>
      <c r="V31" s="74" t="str">
        <f t="shared" si="2"/>
        <v xml:space="preserve">    4.07271329233504, 4.42312859576295, 4.30115343035314, 4.84538945834654, 7.55897001359424, 10.3740336621021, 10.7076187415432,</v>
      </c>
    </row>
    <row r="32" spans="1:22" ht="15.75" thickBot="1" x14ac:dyDescent="0.25">
      <c r="A32" s="77" t="s">
        <v>19</v>
      </c>
      <c r="B32" s="78"/>
      <c r="C32" s="67">
        <v>92.692685851985146</v>
      </c>
      <c r="D32" s="68">
        <v>91.028008929063319</v>
      </c>
      <c r="E32" s="68">
        <v>89.101176850288709</v>
      </c>
      <c r="F32" s="68">
        <v>84.121695311135312</v>
      </c>
      <c r="G32" s="68">
        <v>75.514536359946376</v>
      </c>
      <c r="H32" s="68">
        <v>58.551851548300363</v>
      </c>
      <c r="I32" s="69">
        <v>43.528644478603361</v>
      </c>
      <c r="J32" s="24"/>
      <c r="K32" s="24"/>
      <c r="L32" s="74" t="str">
        <f t="shared" si="4"/>
        <v xml:space="preserve">    92.6926858519851, 91.0280089290633, 89.1011768502887, 84.1216953111353, 75.5145363599464, 58.5518515483004, 43.5286444786034,</v>
      </c>
      <c r="M32" s="77" t="s">
        <v>19</v>
      </c>
      <c r="N32" s="78"/>
      <c r="O32" s="67">
        <v>4.3508377678439567</v>
      </c>
      <c r="P32" s="68">
        <v>5.1455197984597092</v>
      </c>
      <c r="Q32" s="68">
        <v>5.0319449257944937</v>
      </c>
      <c r="R32" s="68">
        <v>5.4881092234662896</v>
      </c>
      <c r="S32" s="68">
        <v>8.3963724907401343</v>
      </c>
      <c r="T32" s="68">
        <v>11.26477476806841</v>
      </c>
      <c r="U32" s="69">
        <v>10.478269846537319</v>
      </c>
      <c r="V32" s="74" t="str">
        <f t="shared" si="2"/>
        <v xml:space="preserve">    4.35083776784396, 5.14551979845971, 5.03194492579449, 5.48810922346629, 8.39637249074013, 11.2647747680684, 10.4782698465373,</v>
      </c>
    </row>
    <row r="34" spans="5:21" ht="15" x14ac:dyDescent="0.2">
      <c r="J34" s="2"/>
      <c r="K34" s="2"/>
      <c r="L34" s="75"/>
      <c r="M34" s="2"/>
      <c r="N34" s="2"/>
      <c r="O34" s="2"/>
      <c r="P34" s="2"/>
      <c r="Q34" s="2"/>
      <c r="R34" s="2"/>
      <c r="S34" s="2"/>
      <c r="T34" s="2"/>
      <c r="U34" s="2"/>
    </row>
    <row r="35" spans="5:21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5:21" ht="15" x14ac:dyDescent="0.2"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5:21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5:21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5:21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5:21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5:21" ht="15" x14ac:dyDescent="0.2">
      <c r="M41" s="2"/>
      <c r="N41" s="2"/>
      <c r="O41" s="2"/>
      <c r="P41" s="2"/>
      <c r="Q41" s="2"/>
      <c r="R41" s="2"/>
      <c r="S41" s="2"/>
      <c r="T41" s="2"/>
      <c r="U41" s="2"/>
    </row>
    <row r="42" spans="5:21" ht="15" x14ac:dyDescent="0.2">
      <c r="E42" s="2"/>
      <c r="J42" s="2"/>
      <c r="M42" s="2"/>
      <c r="N42" s="2"/>
      <c r="O42" s="2"/>
      <c r="P42" s="2"/>
      <c r="Q42" s="2"/>
      <c r="R42" s="2"/>
      <c r="S42" s="2"/>
      <c r="T42" s="2"/>
      <c r="U42" s="2"/>
    </row>
    <row r="43" spans="5:21" ht="15" x14ac:dyDescent="0.2">
      <c r="E43" s="2"/>
      <c r="M43" s="2"/>
      <c r="N43" s="2"/>
      <c r="O43" s="2"/>
      <c r="P43" s="2"/>
      <c r="Q43" s="2"/>
      <c r="R43" s="2"/>
      <c r="S43" s="2"/>
      <c r="T43" s="2"/>
      <c r="U43" s="2"/>
    </row>
    <row r="44" spans="5:21" ht="15" x14ac:dyDescent="0.2">
      <c r="L44" s="75"/>
      <c r="M44" s="2"/>
      <c r="N44" s="2"/>
      <c r="O44" s="2"/>
      <c r="P44" s="2"/>
      <c r="Q44" s="2"/>
      <c r="R44" s="2"/>
      <c r="S44" s="2"/>
      <c r="T44" s="2"/>
      <c r="U44" s="2"/>
    </row>
  </sheetData>
  <mergeCells count="38">
    <mergeCell ref="A2:I2"/>
    <mergeCell ref="M2:U2"/>
    <mergeCell ref="A3:B3"/>
    <mergeCell ref="M3:N3"/>
    <mergeCell ref="A4:B4"/>
    <mergeCell ref="M4:N4"/>
    <mergeCell ref="A5:I5"/>
    <mergeCell ref="M5:U5"/>
    <mergeCell ref="A11:I11"/>
    <mergeCell ref="M11:U11"/>
    <mergeCell ref="A12:B12"/>
    <mergeCell ref="M12:N12"/>
    <mergeCell ref="A13:B13"/>
    <mergeCell ref="M13:N13"/>
    <mergeCell ref="A14:B14"/>
    <mergeCell ref="M14:N14"/>
    <mergeCell ref="A15:B15"/>
    <mergeCell ref="M15:N15"/>
    <mergeCell ref="A18:I18"/>
    <mergeCell ref="M18:U18"/>
    <mergeCell ref="A19:B19"/>
    <mergeCell ref="M19:N19"/>
    <mergeCell ref="A20:B20"/>
    <mergeCell ref="M20:N20"/>
    <mergeCell ref="A21:B21"/>
    <mergeCell ref="M21:N21"/>
    <mergeCell ref="A22:I22"/>
    <mergeCell ref="M22:U22"/>
    <mergeCell ref="A31:B31"/>
    <mergeCell ref="M31:N31"/>
    <mergeCell ref="A32:B32"/>
    <mergeCell ref="M32:N32"/>
    <mergeCell ref="A28:I28"/>
    <mergeCell ref="M28:U28"/>
    <mergeCell ref="A29:B29"/>
    <mergeCell ref="M29:N29"/>
    <mergeCell ref="A30:B30"/>
    <mergeCell ref="M30:N30"/>
  </mergeCells>
  <phoneticPr fontId="1" type="noConversion"/>
  <conditionalFormatting sqref="C3:I4 C6:I10 C12:I1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4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0 C3:I4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4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5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15">
    <cfRule type="colorScale" priority="1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4:K4">
    <cfRule type="colorScale" priority="1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15 C3:K4">
    <cfRule type="colorScale" priority="1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5">
    <cfRule type="colorScale" priority="1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4"/>
  <sheetViews>
    <sheetView tabSelected="1"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83" t="s">
        <v>20</v>
      </c>
      <c r="B2" s="87"/>
      <c r="C2" s="87"/>
      <c r="D2" s="87"/>
      <c r="E2" s="87"/>
      <c r="F2" s="87"/>
      <c r="G2" s="87"/>
      <c r="H2" s="87"/>
      <c r="I2" s="84"/>
      <c r="J2" s="13"/>
      <c r="K2" s="13"/>
      <c r="L2" s="72"/>
      <c r="M2" s="83" t="s">
        <v>20</v>
      </c>
      <c r="N2" s="87"/>
      <c r="O2" s="87"/>
      <c r="P2" s="87"/>
      <c r="Q2" s="87"/>
      <c r="R2" s="87"/>
      <c r="S2" s="87"/>
      <c r="T2" s="87"/>
      <c r="U2" s="84"/>
      <c r="V2" s="72"/>
    </row>
    <row r="3" spans="1:22" ht="15.75" thickBot="1" x14ac:dyDescent="0.25">
      <c r="A3" s="83" t="s">
        <v>6</v>
      </c>
      <c r="B3" s="84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83" t="s">
        <v>6</v>
      </c>
      <c r="N3" s="84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83" t="s">
        <v>12</v>
      </c>
      <c r="B4" s="84"/>
      <c r="C4" s="22">
        <v>87.593900000000005</v>
      </c>
      <c r="D4" s="33">
        <v>87.663716814159287</v>
      </c>
      <c r="E4" s="33">
        <v>88.112094395280209</v>
      </c>
      <c r="F4" s="33">
        <v>87.970025692263789</v>
      </c>
      <c r="G4" s="33">
        <v>87.461708146264243</v>
      </c>
      <c r="H4" s="33">
        <v>75.251363189416281</v>
      </c>
      <c r="I4" s="34">
        <v>47.720683858280204</v>
      </c>
      <c r="J4" s="18" cm="1">
        <f t="array" ref="J4">-SUMPRODUCT((D1:H1-C1:G1)*(C4:G4+D4:H4)/2)</f>
        <v>78.394630770414679</v>
      </c>
      <c r="K4" s="18" cm="1">
        <f t="array" ref="K4">-SUMPRODUCT((D1:I1-C1:H1)*(C4:H4+D4:I4)/2)</f>
        <v>81.468931946607086</v>
      </c>
      <c r="L4" s="72" t="str">
        <f>"    "&amp;_xlfn.TEXTJOIN(", ",TRUE,C4:I4)&amp;","</f>
        <v xml:space="preserve">    87.5939, 87.6637168141593, 88.1120943952802, 87.9700256922638, 87.4617081462642, 75.2513631894163, 47.7206838582802,</v>
      </c>
      <c r="M4" s="83" t="s">
        <v>12</v>
      </c>
      <c r="N4" s="84"/>
      <c r="O4" s="51">
        <v>2.4529187882918819</v>
      </c>
      <c r="P4" s="33">
        <v>2.16276566139488</v>
      </c>
      <c r="Q4" s="33">
        <v>2.2973398804747198</v>
      </c>
      <c r="R4" s="33">
        <v>2.134165319654592</v>
      </c>
      <c r="S4" s="33">
        <v>2.3834878752826651</v>
      </c>
      <c r="T4" s="33">
        <v>3.787986046410059</v>
      </c>
      <c r="U4" s="34">
        <v>3.7419646549723868</v>
      </c>
      <c r="V4" s="72" t="str">
        <f t="shared" ref="V4:V10" si="0">"    "&amp;_xlfn.TEXTJOIN(", ",TRUE,O4:U4)&amp;","</f>
        <v xml:space="preserve">    2.45291878829188, 2.16276566139488, 2.29733988047472, 2.13416531965459, 2.38348787528267, 3.78798604641006, 3.74196465497239,</v>
      </c>
    </row>
    <row r="5" spans="1:22" ht="15.75" thickBot="1" x14ac:dyDescent="0.25">
      <c r="A5" s="83" t="s">
        <v>21</v>
      </c>
      <c r="B5" s="87"/>
      <c r="C5" s="87"/>
      <c r="D5" s="87"/>
      <c r="E5" s="87"/>
      <c r="F5" s="87"/>
      <c r="G5" s="87"/>
      <c r="H5" s="87"/>
      <c r="I5" s="84"/>
      <c r="J5" s="18"/>
      <c r="K5" s="18"/>
      <c r="L5" s="72"/>
      <c r="M5" s="83" t="s">
        <v>21</v>
      </c>
      <c r="N5" s="87"/>
      <c r="O5" s="87"/>
      <c r="P5" s="87"/>
      <c r="Q5" s="87"/>
      <c r="R5" s="87"/>
      <c r="S5" s="87"/>
      <c r="T5" s="87"/>
      <c r="U5" s="84"/>
      <c r="V5" s="72"/>
    </row>
    <row r="6" spans="1:22" ht="15.75" customHeight="1" thickBot="1" x14ac:dyDescent="0.25">
      <c r="A6" s="21" t="s">
        <v>13</v>
      </c>
      <c r="B6" s="19" t="s">
        <v>8</v>
      </c>
      <c r="C6" s="35">
        <v>92.279252704031464</v>
      </c>
      <c r="D6" s="36">
        <v>92.153392330383483</v>
      </c>
      <c r="E6" s="36">
        <v>91.818092428711893</v>
      </c>
      <c r="F6" s="36">
        <v>89.013771745430333</v>
      </c>
      <c r="G6" s="36">
        <v>85.858320573707402</v>
      </c>
      <c r="H6" s="36">
        <v>67.266449825113824</v>
      </c>
      <c r="I6" s="37">
        <v>47.50209488548056</v>
      </c>
      <c r="J6" s="18" cm="1">
        <f t="array" ref="J6">-SUMPRODUCT((D1:H1-C1:G1)*(C6:G6+D6:H6)/2)</f>
        <v>80.533545777500947</v>
      </c>
      <c r="K6" s="18" cm="1">
        <f t="array" ref="K6">-SUMPRODUCT((D1:I1-C1:H1)*(C6:H6+D6:I6)/2)</f>
        <v>83.402759395265804</v>
      </c>
      <c r="L6" s="72" t="str">
        <f>"    "&amp;_xlfn.TEXTJOIN(", ",TRUE,C6:I6)&amp;","</f>
        <v xml:space="preserve">    92.2792527040315, 92.1533923303835, 91.8180924287119, 89.0137717454303, 85.8583205737074, 67.2664498251138, 47.5020948854806,</v>
      </c>
      <c r="M6" s="21" t="s">
        <v>13</v>
      </c>
      <c r="N6" s="19" t="s">
        <v>8</v>
      </c>
      <c r="O6" s="35">
        <v>3.2857078690817541</v>
      </c>
      <c r="P6" s="36">
        <v>3.101070008202357</v>
      </c>
      <c r="Q6" s="36">
        <v>3.175385109314349</v>
      </c>
      <c r="R6" s="36">
        <v>3.0342064094236769</v>
      </c>
      <c r="S6" s="36">
        <v>2.9762737263385479</v>
      </c>
      <c r="T6" s="36">
        <v>4.9398545538217071</v>
      </c>
      <c r="U6" s="37">
        <v>4.8064970172268771</v>
      </c>
      <c r="V6" s="72" t="str">
        <f t="shared" si="0"/>
        <v xml:space="preserve">    3.28570786908175, 3.10107000820236, 3.17538510931435, 3.03420640942368, 2.97627372633855, 4.93985455382171, 4.80649701722688,</v>
      </c>
    </row>
    <row r="7" spans="1:22" ht="15.75" customHeight="1" thickBot="1" x14ac:dyDescent="0.25">
      <c r="A7" s="21" t="s">
        <v>14</v>
      </c>
      <c r="B7" s="19" t="s">
        <v>8</v>
      </c>
      <c r="C7" s="38">
        <v>91.70600380049423</v>
      </c>
      <c r="D7" s="70">
        <v>91.5889872173058</v>
      </c>
      <c r="E7" s="70">
        <v>91.292070000605548</v>
      </c>
      <c r="F7" s="70">
        <v>88.921337266470019</v>
      </c>
      <c r="G7" s="70">
        <v>86.907675095228612</v>
      </c>
      <c r="H7" s="70">
        <v>70.602588834390147</v>
      </c>
      <c r="I7" s="39">
        <v>47.973232179055763</v>
      </c>
      <c r="J7" s="18" cm="1">
        <f t="array" ref="J7">-SUMPRODUCT((D1:H1-C1:G1)*(C7:G7+D7:H7)/2)</f>
        <v>80.460310570737363</v>
      </c>
      <c r="K7" s="18" cm="1">
        <f t="array" ref="K7">-SUMPRODUCT((D1:I1-C1:H1)*(C7:H7+D7:I7)/2)</f>
        <v>83.424706096073507</v>
      </c>
      <c r="L7" s="72" t="str">
        <f>"    "&amp;_xlfn.TEXTJOIN(", ",TRUE,C7:I7)&amp;","</f>
        <v xml:space="preserve">    91.7060038004942, 91.5889872173058, 91.2920700006055, 88.92133726647, 86.9076750952286, 70.6025888343901, 47.9732321790558,</v>
      </c>
      <c r="M7" s="21" t="s">
        <v>14</v>
      </c>
      <c r="N7" s="19" t="s">
        <v>8</v>
      </c>
      <c r="O7" s="38">
        <v>3.0791601252178</v>
      </c>
      <c r="P7" s="70">
        <v>3.0515767553085111</v>
      </c>
      <c r="Q7" s="70">
        <v>2.9905670137598719</v>
      </c>
      <c r="R7" s="70">
        <v>2.7943754529024369</v>
      </c>
      <c r="S7" s="70">
        <v>2.9417887364028421</v>
      </c>
      <c r="T7" s="70">
        <v>4.6402980979424058</v>
      </c>
      <c r="U7" s="39">
        <v>3.8082729656882011</v>
      </c>
      <c r="V7" s="72" t="str">
        <f t="shared" si="0"/>
        <v xml:space="preserve">    3.0791601252178, 3.05157675530851, 2.99056701375987, 2.79437545290244, 2.94178873640284, 4.64029809794241, 3.8082729656882,</v>
      </c>
    </row>
    <row r="8" spans="1:22" ht="15.75" customHeight="1" thickBot="1" x14ac:dyDescent="0.25">
      <c r="A8" s="21" t="s">
        <v>15</v>
      </c>
      <c r="B8" s="19" t="s">
        <v>8</v>
      </c>
      <c r="C8" s="38">
        <v>90.544739429695198</v>
      </c>
      <c r="D8" s="70">
        <v>91.345132743362853</v>
      </c>
      <c r="E8" s="70">
        <v>90.996066863323506</v>
      </c>
      <c r="F8" s="70">
        <v>88.748720432991078</v>
      </c>
      <c r="G8" s="70">
        <v>87.295175563802431</v>
      </c>
      <c r="H8" s="70">
        <v>72.246547692165734</v>
      </c>
      <c r="I8" s="39">
        <v>47.849609425687071</v>
      </c>
      <c r="J8" s="18" cm="1">
        <f t="array" ref="J8">-SUMPRODUCT((D1:H1-C1:G1)*(C8:G8+D8:H8)/2)</f>
        <v>80.282643664737591</v>
      </c>
      <c r="K8" s="18" cm="1">
        <f t="array" ref="K8">-SUMPRODUCT((D1:I1-C1:H1)*(C8:H8+D8:I8)/2)</f>
        <v>83.28504759268391</v>
      </c>
      <c r="L8" s="72" t="str">
        <f>"    "&amp;_xlfn.TEXTJOIN(", ",TRUE,C8:I8)&amp;","</f>
        <v xml:space="preserve">    90.5447394296952, 91.3451327433629, 90.9960668633235, 88.7487204329911, 87.2951755638024, 72.2465476921657, 47.8496094256871,</v>
      </c>
      <c r="M8" s="21" t="s">
        <v>15</v>
      </c>
      <c r="N8" s="19" t="s">
        <v>8</v>
      </c>
      <c r="O8" s="38">
        <v>2.9426040081431379</v>
      </c>
      <c r="P8" s="70">
        <v>2.86228532617839</v>
      </c>
      <c r="Q8" s="70">
        <v>2.7550388899526341</v>
      </c>
      <c r="R8" s="70">
        <v>2.6710490105139422</v>
      </c>
      <c r="S8" s="70">
        <v>2.5041283309245981</v>
      </c>
      <c r="T8" s="70">
        <v>4.1272707607913066</v>
      </c>
      <c r="U8" s="39">
        <v>4.3986399547690587</v>
      </c>
      <c r="V8" s="72" t="str">
        <f t="shared" si="0"/>
        <v xml:space="preserve">    2.94260400814314, 2.86228532617839, 2.75503888995263, 2.67104901051394, 2.5041283309246, 4.12727076079131, 4.39863995476906,</v>
      </c>
    </row>
    <row r="9" spans="1:22" ht="15.75" customHeight="1" thickBot="1" x14ac:dyDescent="0.25">
      <c r="A9" s="21" t="s">
        <v>16</v>
      </c>
      <c r="B9" s="19" t="s">
        <v>8</v>
      </c>
      <c r="C9" s="38">
        <v>90.866279120061591</v>
      </c>
      <c r="D9" s="70">
        <v>90.761119617528422</v>
      </c>
      <c r="E9" s="70">
        <v>90.255965305351523</v>
      </c>
      <c r="F9" s="70">
        <v>89.669106134136115</v>
      </c>
      <c r="G9" s="70">
        <v>88.472013887086689</v>
      </c>
      <c r="H9" s="70">
        <v>78.715231100615043</v>
      </c>
      <c r="I9" s="39">
        <v>51.170693518110028</v>
      </c>
      <c r="J9" s="18" cm="1">
        <f t="array" ref="J9">-SUMPRODUCT((D1:H1-C1:G1)*(C9:G9+D9:H9)/2)</f>
        <v>80.589485851953739</v>
      </c>
      <c r="K9" s="18" cm="1">
        <f t="array" ref="K9">-SUMPRODUCT((D1:I1-C1:H1)*(C9:H9+D9:I9)/2)</f>
        <v>83.836633967421861</v>
      </c>
      <c r="L9" s="72" t="str">
        <f>"    "&amp;_xlfn.TEXTJOIN(", ",TRUE,C9:I9)&amp;","</f>
        <v xml:space="preserve">    90.8662791200616, 90.7611196175284, 90.2559653053515, 89.6691061341361, 88.4720138870867, 78.715231100615, 51.17069351811,</v>
      </c>
      <c r="M9" s="21" t="s">
        <v>16</v>
      </c>
      <c r="N9" s="19" t="s">
        <v>8</v>
      </c>
      <c r="O9" s="38">
        <v>2.8735360221835822</v>
      </c>
      <c r="P9" s="70">
        <v>2.833710439289336</v>
      </c>
      <c r="Q9" s="70">
        <v>2.8554783252427209</v>
      </c>
      <c r="R9" s="70">
        <v>2.6364218031014359</v>
      </c>
      <c r="S9" s="70">
        <v>2.5235875259161999</v>
      </c>
      <c r="T9" s="70">
        <v>3.656623592676945</v>
      </c>
      <c r="U9" s="39">
        <v>6.0857090074716371</v>
      </c>
      <c r="V9" s="72" t="str">
        <f t="shared" si="0"/>
        <v xml:space="preserve">    2.87353602218358, 2.83371043928934, 2.85547832524272, 2.63642180310144, 2.5235875259162, 3.65662359267695, 6.08570900747164,</v>
      </c>
    </row>
    <row r="10" spans="1:22" ht="15.75" customHeight="1" thickBot="1" x14ac:dyDescent="0.25">
      <c r="A10" s="4" t="s">
        <v>17</v>
      </c>
      <c r="B10" s="19" t="s">
        <v>8</v>
      </c>
      <c r="C10" s="40">
        <v>90.239921337266466</v>
      </c>
      <c r="D10" s="41">
        <v>89.882017433830171</v>
      </c>
      <c r="E10" s="41">
        <v>90.283185840707986</v>
      </c>
      <c r="F10" s="41">
        <v>89.14854511428878</v>
      </c>
      <c r="G10" s="41">
        <v>87.844012491457534</v>
      </c>
      <c r="H10" s="41">
        <v>77.600048443325647</v>
      </c>
      <c r="I10" s="42">
        <v>53.309252963549277</v>
      </c>
      <c r="J10" s="18" cm="1">
        <f t="array" ref="J10">-SUMPRODUCT((D1:H1-C1:G1)*(C10:G10+D10:H10)/2)</f>
        <v>80.100896778230506</v>
      </c>
      <c r="K10" s="18" cm="1">
        <f t="array" ref="K10">-SUMPRODUCT((D1:I1-C1:H1)*(C10:H10+D10:I10)/2)</f>
        <v>83.373629313402375</v>
      </c>
      <c r="L10" s="72" t="str">
        <f>"    "&amp;_xlfn.TEXTJOIN(", ",TRUE,C10:I10)&amp;","</f>
        <v xml:space="preserve">    90.2399213372665, 89.8820174338302, 90.283185840708, 89.1485451142888, 87.8440124914575, 77.6000484433256, 53.3092529635493,</v>
      </c>
      <c r="M10" s="4" t="s">
        <v>17</v>
      </c>
      <c r="N10" s="19" t="s">
        <v>8</v>
      </c>
      <c r="O10" s="40">
        <v>2.796689738837506</v>
      </c>
      <c r="P10" s="41">
        <v>2.8162603004822491</v>
      </c>
      <c r="Q10" s="41">
        <v>2.6112288118871501</v>
      </c>
      <c r="R10" s="41">
        <v>2.6757318856271972</v>
      </c>
      <c r="S10" s="41">
        <v>2.8909355127252279</v>
      </c>
      <c r="T10" s="41">
        <v>4.7145823833881977</v>
      </c>
      <c r="U10" s="42">
        <v>6.2823918133732528</v>
      </c>
      <c r="V10" s="72" t="str">
        <f t="shared" si="0"/>
        <v xml:space="preserve">    2.79668973883751, 2.81626030048225, 2.61122881188715, 2.6757318856272, 2.89093551272523, 4.7145823833882, 6.28239181337325,</v>
      </c>
    </row>
    <row r="11" spans="1:22" ht="15.75" customHeight="1" thickBot="1" x14ac:dyDescent="0.25">
      <c r="A11" s="83" t="s">
        <v>22</v>
      </c>
      <c r="B11" s="87"/>
      <c r="C11" s="88"/>
      <c r="D11" s="88"/>
      <c r="E11" s="88"/>
      <c r="F11" s="88"/>
      <c r="G11" s="88"/>
      <c r="H11" s="88"/>
      <c r="I11" s="86"/>
      <c r="J11" s="18"/>
      <c r="K11" s="18"/>
      <c r="L11" s="72"/>
      <c r="M11" s="83" t="s">
        <v>22</v>
      </c>
      <c r="N11" s="87"/>
      <c r="O11" s="88"/>
      <c r="P11" s="88"/>
      <c r="Q11" s="88"/>
      <c r="R11" s="88"/>
      <c r="S11" s="88"/>
      <c r="T11" s="88"/>
      <c r="U11" s="86"/>
      <c r="V11" s="72"/>
    </row>
    <row r="12" spans="1:22" ht="15.75" customHeight="1" thickBot="1" x14ac:dyDescent="0.25">
      <c r="A12" s="83" t="s">
        <v>9</v>
      </c>
      <c r="B12" s="84"/>
      <c r="C12" s="52">
        <v>92.969518190757128</v>
      </c>
      <c r="D12" s="53">
        <v>91.851524090462149</v>
      </c>
      <c r="E12" s="53">
        <v>90.756145526057011</v>
      </c>
      <c r="F12" s="53">
        <v>87.253136561158271</v>
      </c>
      <c r="G12" s="53">
        <v>81.178972136437139</v>
      </c>
      <c r="H12" s="53">
        <v>57.386929529378847</v>
      </c>
      <c r="I12" s="54">
        <v>44.855442809482213</v>
      </c>
      <c r="J12" s="18" cm="1">
        <f t="array" ref="J12">-SUMPRODUCT((D1:H1-C1:G1)*(C12:G12+D12:H12)/2)</f>
        <v>79.079417714109411</v>
      </c>
      <c r="K12" s="18" cm="1">
        <f t="array" ref="K12">-SUMPRODUCT((D1:I1-C1:H1)*(C12:H12+D12:I12)/2)</f>
        <v>81.635477022580943</v>
      </c>
      <c r="L12" s="72" t="str">
        <f>"    "&amp;_xlfn.TEXTJOIN(", ",TRUE,C12:I12)&amp;","</f>
        <v xml:space="preserve">    92.9695181907571, 91.8515240904621, 90.756145526057, 87.2531365611583, 81.1789721364371, 57.3869295293788, 44.8554428094822,</v>
      </c>
      <c r="M12" s="83" t="s">
        <v>9</v>
      </c>
      <c r="N12" s="84"/>
      <c r="O12" s="52">
        <v>3.3991921823554931</v>
      </c>
      <c r="P12" s="53">
        <v>3.6561489783789969</v>
      </c>
      <c r="Q12" s="53">
        <v>3.4316179388806831</v>
      </c>
      <c r="R12" s="53">
        <v>3.3610781227617821</v>
      </c>
      <c r="S12" s="53">
        <v>5.2773835873092807</v>
      </c>
      <c r="T12" s="53">
        <v>8.2027130196510409</v>
      </c>
      <c r="U12" s="54">
        <v>5.203571843512913</v>
      </c>
      <c r="V12" s="72" t="str">
        <f t="shared" ref="V12:V15" si="1">"    "&amp;_xlfn.TEXTJOIN(", ",TRUE,O12:U12)&amp;","</f>
        <v xml:space="preserve">    3.39919218235549, 3.656148978379, 3.43161793888068, 3.36107812276178, 5.27738358730928, 8.20271301965104, 5.20357184351291,</v>
      </c>
    </row>
    <row r="13" spans="1:22" ht="15.75" customHeight="1" thickBot="1" x14ac:dyDescent="0.25">
      <c r="A13" s="85" t="s">
        <v>10</v>
      </c>
      <c r="B13" s="86"/>
      <c r="C13" s="55">
        <v>91.898721730580135</v>
      </c>
      <c r="D13" s="56">
        <v>90.765995668936</v>
      </c>
      <c r="E13" s="56">
        <v>89.705268500015848</v>
      </c>
      <c r="F13" s="56">
        <v>87.959685349065893</v>
      </c>
      <c r="G13" s="56">
        <v>85.750000720882824</v>
      </c>
      <c r="H13" s="56">
        <v>71.387388010853613</v>
      </c>
      <c r="I13" s="57">
        <v>45.596343105620853</v>
      </c>
      <c r="J13" s="18" cm="1">
        <f t="array" ref="J13">-SUMPRODUCT((D1:H1-C1:G1)*(C13:G13+D13:H13)/2)</f>
        <v>79.700846821050931</v>
      </c>
      <c r="K13" s="18" cm="1">
        <f t="array" ref="K13">-SUMPRODUCT((D1:I1-C1:H1)*(C13:H13+D13:I13)/2)</f>
        <v>82.625440098962798</v>
      </c>
      <c r="L13" s="72" t="str">
        <f>"    "&amp;_xlfn.TEXTJOIN(", ",TRUE,C13:I13)&amp;","</f>
        <v xml:space="preserve">    91.8987217305801, 90.765995668936, 89.7052685000158, 87.9596853490659, 85.7500007208828, 71.3873880108536, 45.5963431056209,</v>
      </c>
      <c r="M13" s="83" t="s">
        <v>10</v>
      </c>
      <c r="N13" s="84"/>
      <c r="O13" s="55">
        <v>3.190312271555559</v>
      </c>
      <c r="P13" s="56">
        <v>2.8828036064622768</v>
      </c>
      <c r="Q13" s="56">
        <v>2.5884740771146331</v>
      </c>
      <c r="R13" s="56">
        <v>2.6213450470877251</v>
      </c>
      <c r="S13" s="56">
        <v>3.203569989687661</v>
      </c>
      <c r="T13" s="56">
        <v>4.756712112750666</v>
      </c>
      <c r="U13" s="57">
        <v>2.488810891584841</v>
      </c>
      <c r="V13" s="72" t="str">
        <f t="shared" si="1"/>
        <v xml:space="preserve">    3.19031227155556, 2.88280360646228, 2.58847407711463, 2.62134504708773, 3.20356998968766, 4.75671211275067, 2.48881089158484,</v>
      </c>
    </row>
    <row r="14" spans="1:22" ht="15.75" customHeight="1" thickBot="1" x14ac:dyDescent="0.25">
      <c r="A14" s="83" t="s">
        <v>18</v>
      </c>
      <c r="B14" s="84"/>
      <c r="C14" s="55">
        <v>93.044276622923505</v>
      </c>
      <c r="D14" s="56">
        <v>91.935155148400938</v>
      </c>
      <c r="E14" s="56">
        <v>90.94889229145582</v>
      </c>
      <c r="F14" s="56">
        <v>85.952505356159378</v>
      </c>
      <c r="G14" s="56">
        <v>78.915183810701947</v>
      </c>
      <c r="H14" s="56">
        <v>59.442100133507502</v>
      </c>
      <c r="I14" s="57">
        <v>49.533828147302302</v>
      </c>
      <c r="J14" s="18" cm="1">
        <f t="array" ref="J14">-SUMPRODUCT((D1:H1-C1:G1)*(C14:G14+D14:H14)/2)</f>
        <v>78.834323321712716</v>
      </c>
      <c r="K14" s="18" cm="1">
        <f t="array" ref="K14">-SUMPRODUCT((D1:I1-C1:H1)*(C14:H14+D14:I14)/2)</f>
        <v>81.55872152873296</v>
      </c>
      <c r="L14" s="72" t="str">
        <f>"    "&amp;_xlfn.TEXTJOIN(", ",TRUE,C14:I14)&amp;","</f>
        <v xml:space="preserve">    93.0442766229235, 91.9351551484009, 90.9488922914558, 85.9525053561594, 78.9151838107019, 59.4421001335075, 49.5338281473023,</v>
      </c>
      <c r="M14" s="83" t="s">
        <v>18</v>
      </c>
      <c r="N14" s="84"/>
      <c r="O14" s="55">
        <v>3.72078192123604</v>
      </c>
      <c r="P14" s="56">
        <v>4.0467152776216686</v>
      </c>
      <c r="Q14" s="56">
        <v>4.0235763627769954</v>
      </c>
      <c r="R14" s="56">
        <v>4.4767633212331157</v>
      </c>
      <c r="S14" s="56">
        <v>7.2019016527503927</v>
      </c>
      <c r="T14" s="56">
        <v>10.04668436860082</v>
      </c>
      <c r="U14" s="57">
        <v>9.2355901481835172</v>
      </c>
      <c r="V14" s="72" t="str">
        <f t="shared" si="1"/>
        <v xml:space="preserve">    3.72078192123604, 4.04671527762167, 4.023576362777, 4.47676332123312, 7.20190165275039, 10.0466843686008, 9.23559014818352,</v>
      </c>
    </row>
    <row r="15" spans="1:22" ht="15.75" customHeight="1" thickBot="1" x14ac:dyDescent="0.25">
      <c r="A15" s="83" t="s">
        <v>19</v>
      </c>
      <c r="B15" s="84"/>
      <c r="C15" s="58">
        <v>93.174110502686005</v>
      </c>
      <c r="D15" s="59">
        <v>91.391724841910417</v>
      </c>
      <c r="E15" s="59">
        <v>89.591539142495463</v>
      </c>
      <c r="F15" s="59">
        <v>84.690597092823751</v>
      </c>
      <c r="G15" s="59">
        <v>76.401347185817656</v>
      </c>
      <c r="H15" s="59">
        <v>59.963667505774268</v>
      </c>
      <c r="I15" s="60">
        <v>47.725577210875521</v>
      </c>
      <c r="J15" s="18" cm="1">
        <f t="array" ref="J15">-SUMPRODUCT((D1:H1-C1:G1)*(C15:G15+D15:H15)/2)</f>
        <v>77.994698988168864</v>
      </c>
      <c r="K15" s="18" cm="1">
        <f t="array" ref="K15">-SUMPRODUCT((D1:I1-C1:H1)*(C15:H15+D15:I15)/2)</f>
        <v>80.686930106085114</v>
      </c>
      <c r="L15" s="72" t="str">
        <f>"    "&amp;_xlfn.TEXTJOIN(", ",TRUE,C15:I15)&amp;","</f>
        <v xml:space="preserve">    93.174110502686, 91.3917248419104, 89.5915391424955, 84.6905970928238, 76.4013471858177, 59.9636675057743, 47.7255772108755,</v>
      </c>
      <c r="M15" s="83" t="s">
        <v>19</v>
      </c>
      <c r="N15" s="84"/>
      <c r="O15" s="58">
        <v>3.8766021792735019</v>
      </c>
      <c r="P15" s="59">
        <v>4.8126411406228078</v>
      </c>
      <c r="Q15" s="59">
        <v>4.6512210016047986</v>
      </c>
      <c r="R15" s="59">
        <v>5.2416066355763284</v>
      </c>
      <c r="S15" s="59">
        <v>8.0769588602235256</v>
      </c>
      <c r="T15" s="59">
        <v>10.657363307561541</v>
      </c>
      <c r="U15" s="60">
        <v>9.200486032966916</v>
      </c>
      <c r="V15" s="72" t="str">
        <f t="shared" si="1"/>
        <v xml:space="preserve">    3.8766021792735, 4.81264114062281, 4.6512210016048, 5.24160663557633, 8.07695886022353, 10.6573633075615, 9.20048603296692,</v>
      </c>
    </row>
    <row r="16" spans="1:22" ht="15" thickBo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73"/>
      <c r="M16" s="23"/>
      <c r="N16" s="23"/>
      <c r="O16" s="23"/>
      <c r="P16" s="23"/>
      <c r="Q16" s="23"/>
      <c r="R16" s="23"/>
      <c r="S16" s="23"/>
      <c r="T16" s="23"/>
      <c r="U16" s="23"/>
      <c r="V16" s="73"/>
    </row>
    <row r="17" spans="1:22" ht="15.75" thickBot="1" x14ac:dyDescent="0.25">
      <c r="A17" s="6" t="s">
        <v>4</v>
      </c>
      <c r="B17" s="7" t="s">
        <v>1</v>
      </c>
      <c r="C17" s="8">
        <v>1</v>
      </c>
      <c r="D17" s="8">
        <v>0.75</v>
      </c>
      <c r="E17" s="8">
        <v>0.5</v>
      </c>
      <c r="F17" s="8">
        <v>0.3</v>
      </c>
      <c r="G17" s="8">
        <v>0.2</v>
      </c>
      <c r="H17" s="8">
        <v>0.1</v>
      </c>
      <c r="I17" s="7">
        <v>0.05</v>
      </c>
      <c r="J17" s="14"/>
      <c r="K17" s="14"/>
      <c r="L17" s="74"/>
      <c r="M17" s="6" t="s">
        <v>5</v>
      </c>
      <c r="N17" s="7" t="s">
        <v>1</v>
      </c>
      <c r="O17" s="9">
        <v>1</v>
      </c>
      <c r="P17" s="9">
        <v>0.75</v>
      </c>
      <c r="Q17" s="9">
        <v>0.5</v>
      </c>
      <c r="R17" s="9">
        <v>0.3</v>
      </c>
      <c r="S17" s="9">
        <v>0.2</v>
      </c>
      <c r="T17" s="9">
        <v>0.1</v>
      </c>
      <c r="U17" s="10">
        <v>0.05</v>
      </c>
      <c r="V17" s="74"/>
    </row>
    <row r="18" spans="1:22" ht="15.75" thickBot="1" x14ac:dyDescent="0.25">
      <c r="A18" s="77" t="s">
        <v>20</v>
      </c>
      <c r="B18" s="79"/>
      <c r="C18" s="79"/>
      <c r="D18" s="79"/>
      <c r="E18" s="79"/>
      <c r="F18" s="79"/>
      <c r="G18" s="79"/>
      <c r="H18" s="79"/>
      <c r="I18" s="78"/>
      <c r="J18" s="14"/>
      <c r="K18" s="14"/>
      <c r="L18" s="74"/>
      <c r="M18" s="77" t="s">
        <v>20</v>
      </c>
      <c r="N18" s="79"/>
      <c r="O18" s="79"/>
      <c r="P18" s="79"/>
      <c r="Q18" s="79"/>
      <c r="R18" s="79"/>
      <c r="S18" s="79"/>
      <c r="T18" s="79"/>
      <c r="U18" s="78"/>
      <c r="V18" s="74"/>
    </row>
    <row r="19" spans="1:22" ht="15.75" thickBot="1" x14ac:dyDescent="0.25">
      <c r="A19" s="77" t="s">
        <v>6</v>
      </c>
      <c r="B19" s="78"/>
      <c r="C19" s="25">
        <v>92.567111769713335</v>
      </c>
      <c r="D19" s="25">
        <v>90.835858608343599</v>
      </c>
      <c r="E19" s="25">
        <v>89.217505339533233</v>
      </c>
      <c r="F19" s="25">
        <v>83.237245964288078</v>
      </c>
      <c r="G19" s="25">
        <v>75.380430844191011</v>
      </c>
      <c r="H19" s="25">
        <v>58.994367187597383</v>
      </c>
      <c r="I19" s="26">
        <v>43.622535641382179</v>
      </c>
      <c r="J19" s="24"/>
      <c r="K19" s="24"/>
      <c r="L19" s="74" t="str">
        <f>"    "&amp;_xlfn.TEXTJOIN(", ",TRUE,C19:I19)&amp;","</f>
        <v xml:space="preserve">    92.5671117697133, 90.8358586083436, 89.2175053395332, 83.2372459642881, 75.380430844191, 58.9943671875974, 43.6225356413822,</v>
      </c>
      <c r="M19" s="77" t="s">
        <v>2</v>
      </c>
      <c r="N19" s="78"/>
      <c r="O19" s="27">
        <v>3.88093621561358</v>
      </c>
      <c r="P19" s="25">
        <v>4.8164746829677396</v>
      </c>
      <c r="Q19" s="25">
        <v>5.2250608386616522</v>
      </c>
      <c r="R19" s="25">
        <v>5.6675721086724113</v>
      </c>
      <c r="S19" s="25">
        <v>8.3263283482936075</v>
      </c>
      <c r="T19" s="25">
        <v>10.49020927094638</v>
      </c>
      <c r="U19" s="26">
        <v>11.060437347759546</v>
      </c>
      <c r="V19" s="74" t="str">
        <f>"    "&amp;_xlfn.TEXTJOIN(", ",TRUE,O19:U19)&amp;","</f>
        <v xml:space="preserve">    3.88093621561358, 4.81647468296774, 5.22506083866165, 5.66757210867241, 8.32632834829361, 10.4902092709464, 11.0604373477595,</v>
      </c>
    </row>
    <row r="20" spans="1:22" ht="15.75" thickBot="1" x14ac:dyDescent="0.25">
      <c r="A20" s="77" t="s">
        <v>7</v>
      </c>
      <c r="B20" s="78"/>
      <c r="C20" s="25">
        <v>92.866950218042462</v>
      </c>
      <c r="D20" s="25">
        <v>91.242690764745561</v>
      </c>
      <c r="E20" s="25">
        <v>90.137053227698445</v>
      </c>
      <c r="F20" s="25">
        <v>86.080152926613408</v>
      </c>
      <c r="G20" s="25">
        <v>77.410217255196784</v>
      </c>
      <c r="H20" s="25">
        <v>59.676194764980139</v>
      </c>
      <c r="I20" s="26">
        <v>46.395490419404197</v>
      </c>
      <c r="J20" s="24"/>
      <c r="K20" s="24"/>
      <c r="L20" s="74" t="str">
        <f>"    "&amp;_xlfn.TEXTJOIN(", ",TRUE,C20:I20)&amp;","</f>
        <v xml:space="preserve">    92.8669502180425, 91.2426907647456, 90.1370532276984, 86.0801529266134, 77.4102172551968, 59.6761947649801, 46.3954904194042,</v>
      </c>
      <c r="M20" s="77" t="s">
        <v>7</v>
      </c>
      <c r="N20" s="78"/>
      <c r="O20" s="25">
        <v>3.8319643020864191</v>
      </c>
      <c r="P20" s="25">
        <v>4.3603246705255447</v>
      </c>
      <c r="Q20" s="25">
        <v>4.7987735191879262</v>
      </c>
      <c r="R20" s="25">
        <v>5.1262965367330251</v>
      </c>
      <c r="S20" s="25">
        <v>7.087258799823358</v>
      </c>
      <c r="T20" s="25">
        <v>9.7457736576346736</v>
      </c>
      <c r="U20" s="26">
        <v>10.021578856839133</v>
      </c>
      <c r="V20" s="74" t="str">
        <f t="shared" ref="V20:V32" si="2">"    "&amp;_xlfn.TEXTJOIN(", ",TRUE,O20:U20)&amp;","</f>
        <v xml:space="preserve">    3.83196430208642, 4.36032467052554, 4.79877351918793, 5.12629653673303, 7.08725879982336, 9.74577365763467, 10.0215788568391,</v>
      </c>
    </row>
    <row r="21" spans="1:22" ht="15.75" thickBot="1" x14ac:dyDescent="0.25">
      <c r="A21" s="77" t="s">
        <v>12</v>
      </c>
      <c r="B21" s="78"/>
      <c r="C21" s="30">
        <v>87.268396410214976</v>
      </c>
      <c r="D21" s="31">
        <v>87.256428398686779</v>
      </c>
      <c r="E21" s="31">
        <v>87.822106304170404</v>
      </c>
      <c r="F21" s="31">
        <v>87.68072644235157</v>
      </c>
      <c r="G21" s="31">
        <v>87.144879367185226</v>
      </c>
      <c r="H21" s="31">
        <v>74.976567886515753</v>
      </c>
      <c r="I21" s="32">
        <v>46.41754739488244</v>
      </c>
      <c r="J21" s="24"/>
      <c r="K21" s="24"/>
      <c r="L21" s="74" t="str">
        <f t="shared" ref="L21:L27" si="3">"    "&amp;_xlfn.TEXTJOIN(", ",TRUE,C21:I21)&amp;","</f>
        <v xml:space="preserve">    87.268396410215, 87.2564283986868, 87.8221063041704, 87.6807264423516, 87.1448793671852, 74.9765678865158, 46.4175473948824,</v>
      </c>
      <c r="M21" s="77" t="s">
        <v>12</v>
      </c>
      <c r="N21" s="78"/>
      <c r="O21" s="30">
        <v>2.610595868561878</v>
      </c>
      <c r="P21" s="31">
        <v>2.3209805270224559</v>
      </c>
      <c r="Q21" s="31">
        <v>2.4426244152699921</v>
      </c>
      <c r="R21" s="31">
        <v>2.2821255442986761</v>
      </c>
      <c r="S21" s="31">
        <v>2.523131741400912</v>
      </c>
      <c r="T21" s="31">
        <v>3.7626100419371111</v>
      </c>
      <c r="U21" s="32">
        <v>4.1161081119796732</v>
      </c>
      <c r="V21" s="74" t="str">
        <f t="shared" si="2"/>
        <v xml:space="preserve">    2.61059586856188, 2.32098052702246, 2.44262441526999, 2.28212554429868, 2.52313174140091, 3.76261004193711, 4.11610811197967,</v>
      </c>
    </row>
    <row r="22" spans="1:22" ht="15.75" thickBot="1" x14ac:dyDescent="0.25">
      <c r="A22" s="77" t="s">
        <v>21</v>
      </c>
      <c r="B22" s="79"/>
      <c r="C22" s="79"/>
      <c r="D22" s="79"/>
      <c r="E22" s="79"/>
      <c r="F22" s="79"/>
      <c r="G22" s="79"/>
      <c r="H22" s="79"/>
      <c r="I22" s="78"/>
      <c r="J22" s="24"/>
      <c r="K22" s="24"/>
      <c r="L22" s="74"/>
      <c r="M22" s="77" t="s">
        <v>21</v>
      </c>
      <c r="N22" s="79"/>
      <c r="O22" s="79"/>
      <c r="P22" s="79"/>
      <c r="Q22" s="79"/>
      <c r="R22" s="79"/>
      <c r="S22" s="79"/>
      <c r="T22" s="79"/>
      <c r="U22" s="78"/>
      <c r="V22" s="74"/>
    </row>
    <row r="23" spans="1:22" ht="15.75" thickBot="1" x14ac:dyDescent="0.25">
      <c r="A23" s="28" t="s">
        <v>13</v>
      </c>
      <c r="B23" s="20" t="s">
        <v>8</v>
      </c>
      <c r="C23" s="43">
        <v>91.831886706732718</v>
      </c>
      <c r="D23" s="44">
        <v>91.629481020557378</v>
      </c>
      <c r="E23" s="44">
        <v>91.461647830088651</v>
      </c>
      <c r="F23" s="44">
        <v>88.667964846917059</v>
      </c>
      <c r="G23" s="44">
        <v>85.346107048192835</v>
      </c>
      <c r="H23" s="44">
        <v>66.802904205951776</v>
      </c>
      <c r="I23" s="45">
        <v>45.032918543413011</v>
      </c>
      <c r="J23" s="24"/>
      <c r="K23" s="24"/>
      <c r="L23" s="74" t="str">
        <f t="shared" si="3"/>
        <v xml:space="preserve">    91.8318867067327, 91.6294810205574, 91.4616478300887, 88.6679648469171, 85.3461070481928, 66.8029042059518, 45.032918543413,</v>
      </c>
      <c r="M23" s="28" t="s">
        <v>13</v>
      </c>
      <c r="N23" s="20" t="s">
        <v>8</v>
      </c>
      <c r="O23" s="43">
        <v>3.586123659527475</v>
      </c>
      <c r="P23" s="44">
        <v>3.4347135002307971</v>
      </c>
      <c r="Q23" s="44">
        <v>3.417110134929473</v>
      </c>
      <c r="R23" s="44">
        <v>3.1908353983567022</v>
      </c>
      <c r="S23" s="44">
        <v>3.1177378907758411</v>
      </c>
      <c r="T23" s="44">
        <v>5.1057924787588442</v>
      </c>
      <c r="U23" s="45">
        <v>5.4498307804832438</v>
      </c>
      <c r="V23" s="74" t="str">
        <f t="shared" si="2"/>
        <v xml:space="preserve">    3.58612365952748, 3.4347135002308, 3.41711013492947, 3.1908353983567, 3.11773789077584, 5.10579247875884, 5.44983078048324,</v>
      </c>
    </row>
    <row r="24" spans="1:22" ht="15.75" thickBot="1" x14ac:dyDescent="0.25">
      <c r="A24" s="28" t="s">
        <v>14</v>
      </c>
      <c r="B24" s="20" t="s">
        <v>8</v>
      </c>
      <c r="C24" s="46">
        <v>91.314134629579215</v>
      </c>
      <c r="D24" s="71">
        <v>91.267939380912011</v>
      </c>
      <c r="E24" s="71">
        <v>90.933056261207142</v>
      </c>
      <c r="F24" s="71">
        <v>88.571948202004108</v>
      </c>
      <c r="G24" s="71">
        <v>86.638810353649177</v>
      </c>
      <c r="H24" s="71">
        <v>70.228049408378212</v>
      </c>
      <c r="I24" s="47">
        <v>45.967191259358628</v>
      </c>
      <c r="J24" s="24"/>
      <c r="K24" s="24"/>
      <c r="L24" s="74" t="str">
        <f t="shared" si="3"/>
        <v xml:space="preserve">    91.3141346295792, 91.267939380912, 90.9330562612071, 88.5719482020041, 86.6388103536492, 70.2280494083782, 45.9671912593586,</v>
      </c>
      <c r="M24" s="28" t="s">
        <v>14</v>
      </c>
      <c r="N24" s="20" t="s">
        <v>8</v>
      </c>
      <c r="O24" s="46">
        <v>3.267024785515698</v>
      </c>
      <c r="P24" s="71">
        <v>3.2787274904029822</v>
      </c>
      <c r="Q24" s="71">
        <v>3.192703230432568</v>
      </c>
      <c r="R24" s="71">
        <v>2.9467329042029018</v>
      </c>
      <c r="S24" s="71">
        <v>2.992680683563012</v>
      </c>
      <c r="T24" s="71">
        <v>4.6953749967456639</v>
      </c>
      <c r="U24" s="47">
        <v>4.2370718967403684</v>
      </c>
      <c r="V24" s="74" t="str">
        <f t="shared" si="2"/>
        <v xml:space="preserve">    3.2670247855157, 3.27872749040298, 3.19270323043257, 2.9467329042029, 2.99268068356301, 4.69537499674566, 4.23707189674037,</v>
      </c>
    </row>
    <row r="25" spans="1:22" ht="15.75" thickBot="1" x14ac:dyDescent="0.25">
      <c r="A25" s="28" t="s">
        <v>15</v>
      </c>
      <c r="B25" s="20" t="s">
        <v>8</v>
      </c>
      <c r="C25" s="46">
        <v>90.126933170495406</v>
      </c>
      <c r="D25" s="71">
        <v>90.851555472017409</v>
      </c>
      <c r="E25" s="71">
        <v>90.716004051495048</v>
      </c>
      <c r="F25" s="71">
        <v>88.445694411768173</v>
      </c>
      <c r="G25" s="71">
        <v>86.993746412919563</v>
      </c>
      <c r="H25" s="71">
        <v>71.929658880797575</v>
      </c>
      <c r="I25" s="47">
        <v>46.321213155975798</v>
      </c>
      <c r="J25" s="24"/>
      <c r="K25" s="24"/>
      <c r="L25" s="74" t="str">
        <f t="shared" si="3"/>
        <v xml:space="preserve">    90.1269331704954, 90.8515554720174, 90.716004051495, 88.4456944117682, 86.9937464129196, 71.9296588807976, 46.3212131559758,</v>
      </c>
      <c r="M25" s="28" t="s">
        <v>15</v>
      </c>
      <c r="N25" s="20" t="s">
        <v>8</v>
      </c>
      <c r="O25" s="46">
        <v>3.1789549270992659</v>
      </c>
      <c r="P25" s="71">
        <v>3.1607643376729899</v>
      </c>
      <c r="Q25" s="71">
        <v>2.8930751316094949</v>
      </c>
      <c r="R25" s="71">
        <v>2.7131662546746642</v>
      </c>
      <c r="S25" s="71">
        <v>2.4774004172661712</v>
      </c>
      <c r="T25" s="71">
        <v>4.1846490735688464</v>
      </c>
      <c r="U25" s="47">
        <v>4.5689995150432843</v>
      </c>
      <c r="V25" s="74" t="str">
        <f t="shared" si="2"/>
        <v xml:space="preserve">    3.17895492709927, 3.16076433767299, 2.89307513160949, 2.71316625467466, 2.47740041726617, 4.18464907356885, 4.56899951504328,</v>
      </c>
    </row>
    <row r="26" spans="1:22" ht="15.75" thickBot="1" x14ac:dyDescent="0.25">
      <c r="A26" s="28" t="s">
        <v>16</v>
      </c>
      <c r="B26" s="20" t="s">
        <v>8</v>
      </c>
      <c r="C26" s="46">
        <v>90.397534107272534</v>
      </c>
      <c r="D26" s="71">
        <v>90.275704235188641</v>
      </c>
      <c r="E26" s="71">
        <v>89.859122752765956</v>
      </c>
      <c r="F26" s="71">
        <v>89.380905085642368</v>
      </c>
      <c r="G26" s="71">
        <v>88.100060763176046</v>
      </c>
      <c r="H26" s="71">
        <v>78.327703843405558</v>
      </c>
      <c r="I26" s="47">
        <v>49.964546838379341</v>
      </c>
      <c r="J26" s="24"/>
      <c r="K26" s="24"/>
      <c r="L26" s="74" t="str">
        <f t="shared" si="3"/>
        <v xml:space="preserve">    90.3975341072725, 90.2757042351886, 89.859122752766, 89.3809050856424, 88.100060763176, 78.3277038434056, 49.9645468383793,</v>
      </c>
      <c r="M26" s="28" t="s">
        <v>16</v>
      </c>
      <c r="N26" s="20" t="s">
        <v>8</v>
      </c>
      <c r="O26" s="46">
        <v>3.1811966787218262</v>
      </c>
      <c r="P26" s="71">
        <v>3.1480809864501391</v>
      </c>
      <c r="Q26" s="71">
        <v>3.0257196571143421</v>
      </c>
      <c r="R26" s="71">
        <v>2.697875083667904</v>
      </c>
      <c r="S26" s="71">
        <v>2.698116247950753</v>
      </c>
      <c r="T26" s="71">
        <v>3.84186555361098</v>
      </c>
      <c r="U26" s="47">
        <v>6.4302409812546122</v>
      </c>
      <c r="V26" s="74" t="str">
        <f t="shared" si="2"/>
        <v xml:space="preserve">    3.18119667872183, 3.14808098645014, 3.02571965711434, 2.6978750836679, 2.69811624795075, 3.84186555361098, 6.43024098125461,</v>
      </c>
    </row>
    <row r="27" spans="1:22" ht="15.75" thickBot="1" x14ac:dyDescent="0.25">
      <c r="A27" s="29" t="s">
        <v>17</v>
      </c>
      <c r="B27" s="20" t="s">
        <v>8</v>
      </c>
      <c r="C27" s="48">
        <v>89.785453764452157</v>
      </c>
      <c r="D27" s="49">
        <v>89.369777731480852</v>
      </c>
      <c r="E27" s="49">
        <v>89.968031853267249</v>
      </c>
      <c r="F27" s="49">
        <v>88.850856592745785</v>
      </c>
      <c r="G27" s="49">
        <v>87.570489342075433</v>
      </c>
      <c r="H27" s="49">
        <v>77.38959891109053</v>
      </c>
      <c r="I27" s="50">
        <v>52.114276005088513</v>
      </c>
      <c r="J27" s="24"/>
      <c r="K27" s="24"/>
      <c r="L27" s="74" t="str">
        <f t="shared" si="3"/>
        <v xml:space="preserve">    89.7854537644522, 89.3697777314809, 89.9680318532672, 88.8508565927458, 87.5704893420754, 77.3895989110905, 52.1142760050885,</v>
      </c>
      <c r="M27" s="29" t="s">
        <v>17</v>
      </c>
      <c r="N27" s="20" t="s">
        <v>8</v>
      </c>
      <c r="O27" s="48">
        <v>2.9787695479073948</v>
      </c>
      <c r="P27" s="49">
        <v>3.0794123166360681</v>
      </c>
      <c r="Q27" s="49">
        <v>2.7587124212726128</v>
      </c>
      <c r="R27" s="49">
        <v>2.7873737536329668</v>
      </c>
      <c r="S27" s="49">
        <v>2.9481599676387802</v>
      </c>
      <c r="T27" s="49">
        <v>4.7825783959508854</v>
      </c>
      <c r="U27" s="50">
        <v>6.480299208283995</v>
      </c>
      <c r="V27" s="74" t="str">
        <f t="shared" si="2"/>
        <v xml:space="preserve">    2.97876954790739, 3.07941231663607, 2.75871242127261, 2.78737375363297, 2.94815996763878, 4.78257839595089, 6.48029920828399,</v>
      </c>
    </row>
    <row r="28" spans="1:22" ht="15.75" thickBot="1" x14ac:dyDescent="0.25">
      <c r="A28" s="77" t="s">
        <v>22</v>
      </c>
      <c r="B28" s="79"/>
      <c r="C28" s="80"/>
      <c r="D28" s="80"/>
      <c r="E28" s="80"/>
      <c r="F28" s="80"/>
      <c r="G28" s="80"/>
      <c r="H28" s="80"/>
      <c r="I28" s="81"/>
      <c r="J28" s="24"/>
      <c r="K28" s="24"/>
      <c r="L28" s="74"/>
      <c r="M28" s="77" t="s">
        <v>22</v>
      </c>
      <c r="N28" s="79"/>
      <c r="O28" s="80"/>
      <c r="P28" s="80"/>
      <c r="Q28" s="80"/>
      <c r="R28" s="80"/>
      <c r="S28" s="80"/>
      <c r="T28" s="80"/>
      <c r="U28" s="81"/>
      <c r="V28" s="74"/>
    </row>
    <row r="29" spans="1:22" ht="14.25" customHeight="1" thickBot="1" x14ac:dyDescent="0.25">
      <c r="A29" s="77" t="s">
        <v>9</v>
      </c>
      <c r="B29" s="78"/>
      <c r="C29" s="61">
        <v>92.603769819293618</v>
      </c>
      <c r="D29" s="62">
        <v>91.431947068352812</v>
      </c>
      <c r="E29" s="62">
        <v>90.390795042999585</v>
      </c>
      <c r="F29" s="62">
        <v>86.789562828222273</v>
      </c>
      <c r="G29" s="62">
        <v>80.615554033052248</v>
      </c>
      <c r="H29" s="62">
        <v>56.609578553133908</v>
      </c>
      <c r="I29" s="63">
        <v>41.27928062292434</v>
      </c>
      <c r="J29" s="24"/>
      <c r="K29" s="24"/>
      <c r="L29" s="74" t="str">
        <f t="shared" ref="L29:L32" si="4">"    "&amp;_xlfn.TEXTJOIN(", ",TRUE,C29:I29)&amp;","</f>
        <v xml:space="preserve">    92.6037698192936, 91.4319470683528, 90.3907950429996, 86.7895628282223, 80.6155540330522, 56.6095785531339, 41.2792806229243,</v>
      </c>
      <c r="M29" s="77" t="s">
        <v>9</v>
      </c>
      <c r="N29" s="78"/>
      <c r="O29" s="61">
        <v>3.708759274801273</v>
      </c>
      <c r="P29" s="62">
        <v>3.9640390541215931</v>
      </c>
      <c r="Q29" s="62">
        <v>3.7067998106756881</v>
      </c>
      <c r="R29" s="62">
        <v>3.667452632531309</v>
      </c>
      <c r="S29" s="62">
        <v>5.7548227051500218</v>
      </c>
      <c r="T29" s="62">
        <v>8.5366536877555248</v>
      </c>
      <c r="U29" s="63">
        <v>6.3187793027043018</v>
      </c>
      <c r="V29" s="74" t="str">
        <f t="shared" si="2"/>
        <v xml:space="preserve">    3.70875927480127, 3.96403905412159, 3.70679981067569, 3.66745263253131, 5.75482270515002, 8.53665368775552, 6.3187793027043,</v>
      </c>
    </row>
    <row r="30" spans="1:22" ht="15.75" thickBot="1" x14ac:dyDescent="0.25">
      <c r="A30" s="82" t="s">
        <v>10</v>
      </c>
      <c r="B30" s="81"/>
      <c r="C30" s="64">
        <v>91.377634404932721</v>
      </c>
      <c r="D30" s="65">
        <v>90.405373333245066</v>
      </c>
      <c r="E30" s="65">
        <v>89.371480308332721</v>
      </c>
      <c r="F30" s="65">
        <v>87.60989862639515</v>
      </c>
      <c r="G30" s="65">
        <v>85.537230701510694</v>
      </c>
      <c r="H30" s="65">
        <v>70.930708745421484</v>
      </c>
      <c r="I30" s="66">
        <v>44.097326232806537</v>
      </c>
      <c r="J30" s="24"/>
      <c r="K30" s="24"/>
      <c r="L30" s="74" t="str">
        <f t="shared" si="4"/>
        <v xml:space="preserve">    91.3776344049327, 90.4053733332451, 89.3714803083327, 87.6098986263952, 85.5372307015107, 70.9307087454215, 44.0973262328065,</v>
      </c>
      <c r="M30" s="77" t="s">
        <v>10</v>
      </c>
      <c r="N30" s="78"/>
      <c r="O30" s="64">
        <v>3.5684194304484111</v>
      </c>
      <c r="P30" s="65">
        <v>3.0347581440341318</v>
      </c>
      <c r="Q30" s="65">
        <v>2.754130276526872</v>
      </c>
      <c r="R30" s="65">
        <v>2.7768782002466339</v>
      </c>
      <c r="S30" s="65">
        <v>3.3184641894178428</v>
      </c>
      <c r="T30" s="65">
        <v>4.9795199020249923</v>
      </c>
      <c r="U30" s="66">
        <v>2.9223071611371929</v>
      </c>
      <c r="V30" s="74" t="str">
        <f t="shared" si="2"/>
        <v xml:space="preserve">    3.56841943044841, 3.03475814403413, 2.75413027652687, 2.77687820024663, 3.31846418941784, 4.97951990202499, 2.92230716113719,</v>
      </c>
    </row>
    <row r="31" spans="1:22" ht="14.25" customHeight="1" thickBot="1" x14ac:dyDescent="0.25">
      <c r="A31" s="77" t="s">
        <v>18</v>
      </c>
      <c r="B31" s="78"/>
      <c r="C31" s="64">
        <v>92.603715202692385</v>
      </c>
      <c r="D31" s="65">
        <v>91.484997502720319</v>
      </c>
      <c r="E31" s="65">
        <v>90.630171299324857</v>
      </c>
      <c r="F31" s="65">
        <v>85.342034697064548</v>
      </c>
      <c r="G31" s="65">
        <v>78.208607944308184</v>
      </c>
      <c r="H31" s="65">
        <v>58.188767254712552</v>
      </c>
      <c r="I31" s="66">
        <v>45.468919562576168</v>
      </c>
      <c r="J31" s="24"/>
      <c r="K31" s="24"/>
      <c r="L31" s="74" t="str">
        <f t="shared" si="4"/>
        <v xml:space="preserve">    92.6037152026924, 91.4849975027203, 90.6301712993249, 85.3420346970645, 78.2086079443082, 58.1887672547126, 45.4689195625762,</v>
      </c>
      <c r="M31" s="77" t="s">
        <v>18</v>
      </c>
      <c r="N31" s="78"/>
      <c r="O31" s="64">
        <v>4.0727132923350373</v>
      </c>
      <c r="P31" s="65">
        <v>4.4231285957629458</v>
      </c>
      <c r="Q31" s="65">
        <v>4.3011534303531356</v>
      </c>
      <c r="R31" s="65">
        <v>4.8453894583465429</v>
      </c>
      <c r="S31" s="65">
        <v>7.5589700135942426</v>
      </c>
      <c r="T31" s="65">
        <v>10.3740336621021</v>
      </c>
      <c r="U31" s="66">
        <v>10.707618741543239</v>
      </c>
      <c r="V31" s="74" t="str">
        <f t="shared" si="2"/>
        <v xml:space="preserve">    4.07271329233504, 4.42312859576295, 4.30115343035314, 4.84538945834654, 7.55897001359424, 10.3740336621021, 10.7076187415432,</v>
      </c>
    </row>
    <row r="32" spans="1:22" ht="15.75" thickBot="1" x14ac:dyDescent="0.25">
      <c r="A32" s="77" t="s">
        <v>19</v>
      </c>
      <c r="B32" s="78"/>
      <c r="C32" s="67">
        <v>92.692685851985146</v>
      </c>
      <c r="D32" s="68">
        <v>91.028008929063319</v>
      </c>
      <c r="E32" s="68">
        <v>89.101176850288709</v>
      </c>
      <c r="F32" s="68">
        <v>84.121695311135312</v>
      </c>
      <c r="G32" s="68">
        <v>75.514536359946376</v>
      </c>
      <c r="H32" s="68">
        <v>58.551851548300363</v>
      </c>
      <c r="I32" s="69">
        <v>43.528644478603361</v>
      </c>
      <c r="J32" s="24"/>
      <c r="K32" s="24"/>
      <c r="L32" s="74" t="str">
        <f t="shared" si="4"/>
        <v xml:space="preserve">    92.6926858519851, 91.0280089290633, 89.1011768502887, 84.1216953111353, 75.5145363599464, 58.5518515483004, 43.5286444786034,</v>
      </c>
      <c r="M32" s="77" t="s">
        <v>19</v>
      </c>
      <c r="N32" s="78"/>
      <c r="O32" s="67">
        <v>4.3508377678439567</v>
      </c>
      <c r="P32" s="68">
        <v>5.1455197984597092</v>
      </c>
      <c r="Q32" s="68">
        <v>5.0319449257944937</v>
      </c>
      <c r="R32" s="68">
        <v>5.4881092234662896</v>
      </c>
      <c r="S32" s="68">
        <v>8.3963724907401343</v>
      </c>
      <c r="T32" s="68">
        <v>11.26477476806841</v>
      </c>
      <c r="U32" s="69">
        <v>10.478269846537319</v>
      </c>
      <c r="V32" s="74" t="str">
        <f t="shared" si="2"/>
        <v xml:space="preserve">    4.35083776784396, 5.14551979845971, 5.03194492579449, 5.48810922346629, 8.39637249074013, 11.2647747680684, 10.4782698465373,</v>
      </c>
    </row>
    <row r="34" spans="5:21" ht="15" x14ac:dyDescent="0.2">
      <c r="J34" s="2"/>
      <c r="K34" s="2"/>
      <c r="L34" s="75"/>
      <c r="M34" s="2"/>
      <c r="N34" s="2"/>
      <c r="O34" s="2"/>
      <c r="P34" s="2"/>
      <c r="Q34" s="2"/>
      <c r="R34" s="2"/>
      <c r="S34" s="2"/>
      <c r="T34" s="2"/>
      <c r="U34" s="2"/>
    </row>
    <row r="35" spans="5:21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5:21" ht="15" x14ac:dyDescent="0.2"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5:21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5:21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5:21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5:21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5:21" ht="15" x14ac:dyDescent="0.2">
      <c r="M41" s="2"/>
      <c r="N41" s="2"/>
      <c r="O41" s="2"/>
      <c r="P41" s="2"/>
      <c r="Q41" s="2"/>
      <c r="R41" s="2"/>
      <c r="S41" s="2"/>
      <c r="T41" s="2"/>
      <c r="U41" s="2"/>
    </row>
    <row r="42" spans="5:21" ht="15" x14ac:dyDescent="0.2">
      <c r="E42" s="2"/>
      <c r="J42" s="2"/>
      <c r="M42" s="2"/>
      <c r="N42" s="2"/>
      <c r="O42" s="2"/>
      <c r="P42" s="2"/>
      <c r="Q42" s="2"/>
      <c r="R42" s="2"/>
      <c r="S42" s="2"/>
      <c r="T42" s="2"/>
      <c r="U42" s="2"/>
    </row>
    <row r="43" spans="5:21" ht="15" x14ac:dyDescent="0.2">
      <c r="E43" s="2"/>
      <c r="M43" s="2"/>
      <c r="N43" s="2"/>
      <c r="O43" s="2"/>
      <c r="P43" s="2"/>
      <c r="Q43" s="2"/>
      <c r="R43" s="2"/>
      <c r="S43" s="2"/>
      <c r="T43" s="2"/>
      <c r="U43" s="2"/>
    </row>
    <row r="44" spans="5:21" ht="15" x14ac:dyDescent="0.2">
      <c r="L44" s="75"/>
      <c r="M44" s="2"/>
      <c r="N44" s="2"/>
      <c r="O44" s="2"/>
      <c r="P44" s="2"/>
      <c r="Q44" s="2"/>
      <c r="R44" s="2"/>
      <c r="S44" s="2"/>
      <c r="T44" s="2"/>
      <c r="U44" s="2"/>
    </row>
  </sheetData>
  <mergeCells count="38">
    <mergeCell ref="M22:U22"/>
    <mergeCell ref="M5:U5"/>
    <mergeCell ref="A2:I2"/>
    <mergeCell ref="M2:U2"/>
    <mergeCell ref="A18:I18"/>
    <mergeCell ref="M18:U18"/>
    <mergeCell ref="A22:I22"/>
    <mergeCell ref="M12:N12"/>
    <mergeCell ref="M13:N13"/>
    <mergeCell ref="A20:B20"/>
    <mergeCell ref="M20:N20"/>
    <mergeCell ref="A21:B21"/>
    <mergeCell ref="M21:N21"/>
    <mergeCell ref="A14:B14"/>
    <mergeCell ref="A15:B15"/>
    <mergeCell ref="M14:N14"/>
    <mergeCell ref="A28:I28"/>
    <mergeCell ref="A31:B31"/>
    <mergeCell ref="A32:B32"/>
    <mergeCell ref="M28:U28"/>
    <mergeCell ref="M31:N31"/>
    <mergeCell ref="M32:N32"/>
    <mergeCell ref="A29:B29"/>
    <mergeCell ref="A30:B30"/>
    <mergeCell ref="M29:N29"/>
    <mergeCell ref="M30:N30"/>
    <mergeCell ref="M15:N15"/>
    <mergeCell ref="A3:B3"/>
    <mergeCell ref="M3:N3"/>
    <mergeCell ref="A19:B19"/>
    <mergeCell ref="M19:N19"/>
    <mergeCell ref="A12:B12"/>
    <mergeCell ref="A13:B13"/>
    <mergeCell ref="A4:B4"/>
    <mergeCell ref="M4:N4"/>
    <mergeCell ref="A11:I11"/>
    <mergeCell ref="A5:I5"/>
    <mergeCell ref="M11:U11"/>
  </mergeCells>
  <phoneticPr fontId="1" type="noConversion"/>
  <conditionalFormatting sqref="C3:I4 C6:I10 C12:I15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4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0 C3:I4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4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J28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15">
    <cfRule type="colorScale" priority="15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4:K4">
    <cfRule type="colorScale" priority="15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4 J5:K15">
    <cfRule type="colorScale" priority="1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3:K28">
    <cfRule type="colorScale" priority="17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5">
    <cfRule type="colorScale" priority="1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3:K28">
    <cfRule type="colorScale" priority="1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nm_basis_F, nm_modifier_F</vt:lpstr>
      <vt:lpstr>nm_basis_T, nm_modifier_F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2026-04-13T11:57:30Z</dcterms:modified>
</cp:coreProperties>
</file>