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CC-\"/>
    </mc:Choice>
  </mc:AlternateContent>
  <xr:revisionPtr revIDLastSave="0" documentId="13_ncr:1_{5B68A561-E077-4D8C-A73F-E87FF3DD9C22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5" l="1"/>
  <c r="V31" i="5"/>
  <c r="V30" i="5"/>
  <c r="V29" i="5"/>
  <c r="V27" i="5"/>
  <c r="V26" i="5"/>
  <c r="V25" i="5"/>
  <c r="V24" i="5"/>
  <c r="V23" i="5"/>
  <c r="V21" i="5"/>
  <c r="V20" i="5"/>
  <c r="V19" i="5"/>
  <c r="V15" i="5"/>
  <c r="V14" i="5"/>
  <c r="V13" i="5"/>
  <c r="V12" i="5"/>
  <c r="V10" i="5"/>
  <c r="V9" i="5"/>
  <c r="V8" i="5"/>
  <c r="V7" i="5"/>
  <c r="V6" i="5"/>
  <c r="V4" i="5"/>
  <c r="V3" i="5"/>
  <c r="L32" i="5"/>
  <c r="L31" i="5"/>
  <c r="L30" i="5"/>
  <c r="L29" i="5"/>
  <c r="L27" i="5"/>
  <c r="L26" i="5"/>
  <c r="L25" i="5"/>
  <c r="L24" i="5"/>
  <c r="L23" i="5"/>
  <c r="L21" i="5"/>
  <c r="L20" i="5"/>
  <c r="L19" i="5"/>
  <c r="L15" i="5"/>
  <c r="L14" i="5"/>
  <c r="L13" i="5"/>
  <c r="L12" i="5"/>
  <c r="L10" i="5"/>
  <c r="L9" i="5"/>
  <c r="L8" i="5"/>
  <c r="L7" i="5"/>
  <c r="L6" i="5"/>
  <c r="L4" i="5"/>
  <c r="L3" i="5"/>
  <c r="V21" i="8"/>
  <c r="V23" i="8"/>
  <c r="V24" i="8"/>
  <c r="V25" i="8"/>
  <c r="V26" i="8"/>
  <c r="V27" i="8"/>
  <c r="V4" i="8"/>
  <c r="V6" i="8"/>
  <c r="V7" i="8"/>
  <c r="V8" i="8"/>
  <c r="V9" i="8"/>
  <c r="V10" i="8"/>
  <c r="L21" i="8"/>
  <c r="L23" i="8"/>
  <c r="L24" i="8"/>
  <c r="L25" i="8"/>
  <c r="L26" i="8"/>
  <c r="L27" i="8"/>
  <c r="L4" i="8"/>
  <c r="L6" i="8"/>
  <c r="L7" i="8"/>
  <c r="L8" i="8"/>
  <c r="L9" i="8"/>
  <c r="L10" i="8"/>
  <c r="V32" i="8"/>
  <c r="L32" i="8"/>
  <c r="V31" i="8"/>
  <c r="L31" i="8"/>
  <c r="V30" i="8"/>
  <c r="L30" i="8"/>
  <c r="V29" i="8"/>
  <c r="L29" i="8"/>
  <c r="V20" i="8"/>
  <c r="L20" i="8"/>
  <c r="V19" i="8"/>
  <c r="L19" i="8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12" i="8"/>
  <c r="L12" i="8"/>
  <c r="K12" i="8" a="1"/>
  <c r="K12" i="8" s="1"/>
  <c r="J12" i="8" a="1"/>
  <c r="J12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6" i="8" a="1"/>
  <c r="K6" i="8" s="1"/>
  <c r="J6" i="8" a="1"/>
  <c r="J6" i="8" s="1"/>
  <c r="K4" i="8" a="1"/>
  <c r="K4" i="8" s="1"/>
  <c r="J4" i="8" a="1"/>
  <c r="J4" i="8" s="1"/>
  <c r="V3" i="8"/>
  <c r="L3" i="8"/>
  <c r="K3" i="8" a="1"/>
  <c r="K3" i="8" s="1"/>
  <c r="J3" i="8" a="1"/>
  <c r="J3" i="8" s="1"/>
  <c r="J4" i="5" a="1"/>
  <c r="J4" i="5" s="1"/>
  <c r="K4" i="5" a="1"/>
  <c r="K4" i="5" s="1"/>
  <c r="K6" i="5" a="1"/>
  <c r="K6" i="5" s="1"/>
  <c r="K9" i="5" a="1"/>
  <c r="K9" i="5" s="1"/>
  <c r="K8" i="5" a="1"/>
  <c r="K8" i="5" s="1"/>
  <c r="K7" i="5" a="1"/>
  <c r="K7" i="5" s="1"/>
  <c r="J9" i="5" a="1"/>
  <c r="J9" i="5" s="1"/>
  <c r="J8" i="5" a="1"/>
  <c r="J8" i="5" s="1"/>
  <c r="J7" i="5" a="1"/>
  <c r="J7" i="5" s="1"/>
  <c r="J6" i="5" a="1"/>
  <c r="J6" i="5" s="1"/>
  <c r="K10" i="5" a="1"/>
  <c r="K10" i="5" s="1"/>
  <c r="J10" i="5" a="1"/>
  <c r="J10" i="5" s="1"/>
  <c r="K13" i="5" a="1"/>
  <c r="K13" i="5" s="1"/>
  <c r="J13" i="5" a="1"/>
  <c r="J13" i="5" s="1"/>
  <c r="J15" i="5" a="1"/>
  <c r="J15" i="5" s="1"/>
  <c r="J14" i="5" a="1"/>
  <c r="J14" i="5" s="1"/>
  <c r="J12" i="5" a="1"/>
  <c r="J12" i="5" s="1"/>
  <c r="J3" i="5" a="1"/>
  <c r="J3" i="5" s="1"/>
  <c r="K15" i="5" a="1"/>
  <c r="K15" i="5" s="1"/>
  <c r="K14" i="5" a="1"/>
  <c r="K14" i="5" s="1"/>
  <c r="K12" i="5" a="1"/>
  <c r="K12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<sst xmlns="http://schemas.openxmlformats.org/spreadsheetml/2006/main" count="176" uniqueCount="23">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</sst>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4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85" t="s">
        <v>20</v>
      </c>
      <c r="B2" s="87"/>
      <c r="C2" s="87"/>
      <c r="D2" s="87"/>
      <c r="E2" s="87"/>
      <c r="F2" s="87"/>
      <c r="G2" s="87"/>
      <c r="H2" s="87"/>
      <c r="I2" s="86"/>
      <c r="J2" s="13"/>
      <c r="K2" s="13"/>
      <c r="L2" s="72"/>
      <c r="M2" s="85" t="s">
        <v>20</v>
      </c>
      <c r="N2" s="87"/>
      <c r="O2" s="87"/>
      <c r="P2" s="87"/>
      <c r="Q2" s="87"/>
      <c r="R2" s="87"/>
      <c r="S2" s="87"/>
      <c r="T2" s="87"/>
      <c r="U2" s="86"/>
      <c r="V2" s="72"/>
    </row>
    <row r="3" spans="1:22" ht="15.75" thickBot="1" x14ac:dyDescent="0.25">
      <c r="A3" s="85" t="s">
        <v>6</v>
      </c>
      <c r="B3" s="86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85" t="s">
        <v>6</v>
      </c>
      <c r="N3" s="86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5" t="s">
        <v>12</v>
      </c>
      <c r="B4" s="86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85" t="s">
        <v>12</v>
      </c>
      <c r="N4" s="86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85" t="s">
        <v>21</v>
      </c>
      <c r="B5" s="87"/>
      <c r="C5" s="87"/>
      <c r="D5" s="87"/>
      <c r="E5" s="87"/>
      <c r="F5" s="87"/>
      <c r="G5" s="87"/>
      <c r="H5" s="87"/>
      <c r="I5" s="86"/>
      <c r="J5" s="18"/>
      <c r="K5" s="18"/>
      <c r="L5" s="72"/>
      <c r="M5" s="85" t="s">
        <v>21</v>
      </c>
      <c r="N5" s="87"/>
      <c r="O5" s="87"/>
      <c r="P5" s="87"/>
      <c r="Q5" s="87"/>
      <c r="R5" s="87"/>
      <c r="S5" s="87"/>
      <c r="T5" s="87"/>
      <c r="U5" s="86"/>
      <c r="V5" s="72"/>
    </row>
    <row r="6" spans="1:22" ht="15.75" customHeight="1" thickBot="1" x14ac:dyDescent="0.25">
      <c r="A6" s="21" t="s">
        <v>13</v>
      </c>
      <c r="B6" s="19" t="s">
        <v>8</v>
      </c>
      <c r="C6" s="35">
        <v>89.933136676499529</v>
      </c>
      <c r="D6" s="36">
        <v>89.873231313996357</v>
      </c>
      <c r="E6" s="36">
        <v>90.251720747295977</v>
      </c>
      <c r="F6" s="36">
        <v>90.087742973555123</v>
      </c>
      <c r="G6" s="36">
        <v>89.694319731716277</v>
      </c>
      <c r="H6" s="36">
        <v>78.546870359316841</v>
      </c>
      <c r="I6" s="37">
        <v>54.048007912409858</v>
      </c>
      <c r="J6" s="18" cm="1">
        <f t="array" ref="J6">-SUMPRODUCT((D1:H1-C1:G1)*(C6:G6+D6:H6)/2)</f>
        <v>80.426524018373868</v>
      </c>
      <c r="K6" s="18" cm="1">
        <f t="array" ref="K6">-SUMPRODUCT((D1:I1-C1:H1)*(C6:H6+D6:I6)/2)</f>
        <v>83.741395975167038</v>
      </c>
      <c r="L6" s="72" t="str">
        <f>"    "&amp;_xlfn.TEXTJOIN(", ",TRUE,C6:I6)&amp;","</f>
        <v xml:space="preserve">    89.9331366764995, 89.8732313139964, 90.251720747296, 90.0877429735551, 89.6943197317163, 78.5468703593168, 54.0480079124099,</v>
      </c>
      <c r="M6" s="21" t="s">
        <v>13</v>
      </c>
      <c r="N6" s="19" t="s">
        <v>8</v>
      </c>
      <c r="O6" s="35">
        <v>2.0598186375665342</v>
      </c>
      <c r="P6" s="36">
        <v>2.528752672405493</v>
      </c>
      <c r="Q6" s="36">
        <v>2.4074692328089591</v>
      </c>
      <c r="R6" s="36">
        <v>2.0101416927639142</v>
      </c>
      <c r="S6" s="36">
        <v>2.0562730856240039</v>
      </c>
      <c r="T6" s="36">
        <v>3.5883198406553891</v>
      </c>
      <c r="U6" s="37">
        <v>6.3599906692460868</v>
      </c>
      <c r="V6" s="72" t="str">
        <f t="shared" si="0"/>
        <v xml:space="preserve">    2.05981863756653, 2.52875267240549, 2.40746923280896, 2.01014169276391, 2.056273085624, 3.58831984065539, 6.35999066924609,</v>
      </c>
    </row>
    <row r="7" spans="1:22" ht="15.75" customHeight="1" thickBot="1" x14ac:dyDescent="0.25">
      <c r="A7" s="21" t="s">
        <v>14</v>
      </c>
      <c r="B7" s="19" t="s">
        <v>8</v>
      </c>
      <c r="C7" s="38">
        <v>90.269419862340229</v>
      </c>
      <c r="D7" s="70">
        <v>90.447400064014388</v>
      </c>
      <c r="E7" s="70">
        <v>90.580137659783674</v>
      </c>
      <c r="F7" s="70">
        <v>90.609641951919983</v>
      </c>
      <c r="G7" s="70">
        <v>89.799361009466651</v>
      </c>
      <c r="H7" s="70">
        <v>80.210151760251662</v>
      </c>
      <c r="I7" s="39">
        <v>52.500598332742207</v>
      </c>
      <c r="J7" s="18" cm="1">
        <f t="array" ref="J7">-SUMPRODUCT((D1:H1-C1:G1)*(C7:G7+D7:H7)/2)</f>
        <v>80.857948453994695</v>
      </c>
      <c r="K7" s="18" cm="1">
        <f t="array" ref="K7">-SUMPRODUCT((D1:I1-C1:H1)*(C7:H7+D7:I7)/2)</f>
        <v>84.175717206319547</v>
      </c>
      <c r="L7" s="72" t="str">
        <f>"    "&amp;_xlfn.TEXTJOIN(", ",TRUE,C7:I7)&amp;","</f>
        <v xml:space="preserve">    90.2694198623402, 90.4474000640144, 90.5801376597837, 90.60964195192, 89.7993610094667, 80.2101517602517, 52.5005983327422,</v>
      </c>
      <c r="M7" s="21" t="s">
        <v>14</v>
      </c>
      <c r="N7" s="19" t="s">
        <v>8</v>
      </c>
      <c r="O7" s="38">
        <v>2.5071517436168782</v>
      </c>
      <c r="P7" s="70">
        <v>2.4362352891262509</v>
      </c>
      <c r="Q7" s="70">
        <v>2.166168552661198</v>
      </c>
      <c r="R7" s="70">
        <v>2.2813080140162332</v>
      </c>
      <c r="S7" s="70">
        <v>1.930556485862887</v>
      </c>
      <c r="T7" s="70">
        <v>3.492288096752755</v>
      </c>
      <c r="U7" s="39">
        <v>6.0147661270766806</v>
      </c>
      <c r="V7" s="72" t="str">
        <f t="shared" si="0"/>
        <v xml:space="preserve">    2.50715174361688, 2.43623528912625, 2.1661685526612, 2.28130801401623, 1.93055648586289, 3.49228809675275, 6.01476612707668,</v>
      </c>
    </row>
    <row r="8" spans="1:22" ht="15.75" customHeight="1" thickBot="1" x14ac:dyDescent="0.25">
      <c r="A8" s="21" t="s">
        <v>15</v>
      </c>
      <c r="B8" s="19" t="s">
        <v>8</v>
      </c>
      <c r="C8" s="38">
        <v>90.207472959685347</v>
      </c>
      <c r="D8" s="70">
        <v>90.476892822025562</v>
      </c>
      <c r="E8" s="70">
        <v>90.685349065880033</v>
      </c>
      <c r="F8" s="70">
        <v>90.641141647707471</v>
      </c>
      <c r="G8" s="70">
        <v>89.631859560492146</v>
      </c>
      <c r="H8" s="70">
        <v>80.434458775594933</v>
      </c>
      <c r="I8" s="39">
        <v>54.493199191457833</v>
      </c>
      <c r="J8" s="18" cm="1">
        <f t="array" ref="J8">-SUMPRODUCT((D1:H1-C1:G1)*(C8:G8+D8:H8)/2)</f>
        <v>80.880441007275152</v>
      </c>
      <c r="K8" s="18" cm="1">
        <f t="array" ref="K8">-SUMPRODUCT((D1:I1-C1:H1)*(C8:H8+D8:I8)/2)</f>
        <v>84.25363245645147</v>
      </c>
      <c r="L8" s="72" t="str">
        <f>"    "&amp;_xlfn.TEXTJOIN(", ",TRUE,C8:I8)&amp;","</f>
        <v xml:space="preserve">    90.2074729596853, 90.4768928220256, 90.68534906588, 90.6411416477075, 89.6318595604921, 80.4344587755949, 54.4931991914578,</v>
      </c>
      <c r="M8" s="21" t="s">
        <v>15</v>
      </c>
      <c r="N8" s="19" t="s">
        <v>8</v>
      </c>
      <c r="O8" s="38">
        <v>2.5417218685172829</v>
      </c>
      <c r="P8" s="70">
        <v>2.3490296599999958</v>
      </c>
      <c r="Q8" s="70">
        <v>2.2526868636271922</v>
      </c>
      <c r="R8" s="70">
        <v>2.28287004156144</v>
      </c>
      <c r="S8" s="70">
        <v>2.4576735508142069</v>
      </c>
      <c r="T8" s="70">
        <v>3.8076893696435872</v>
      </c>
      <c r="U8" s="39">
        <v>6.9482443370116709</v>
      </c>
      <c r="V8" s="72" t="str">
        <f t="shared" si="0"/>
        <v xml:space="preserve">    2.54172186851728, 2.34902966, 2.25268686362719, 2.28287004156144, 2.45767355081421, 3.80768936964359, 6.94824433701167,</v>
      </c>
    </row>
    <row r="9" spans="1:22" ht="15.75" customHeight="1" thickBot="1" x14ac:dyDescent="0.25">
      <c r="A9" s="21" t="s">
        <v>16</v>
      </c>
      <c r="B9" s="19" t="s">
        <v>8</v>
      </c>
      <c r="C9" s="38">
        <v>90.324483775811217</v>
      </c>
      <c r="D9" s="70">
        <v>90.326450344149464</v>
      </c>
      <c r="E9" s="70">
        <v>90.71780897758633</v>
      </c>
      <c r="F9" s="70">
        <v>90.619642038425951</v>
      </c>
      <c r="G9" s="70">
        <v>89.693595965363016</v>
      </c>
      <c r="H9" s="70">
        <v>80.854021228557329</v>
      </c>
      <c r="I9" s="39">
        <v>54.356695703826738</v>
      </c>
      <c r="J9" s="18" cm="1">
        <f t="array" ref="J9">-SUMPRODUCT((D1:H1-C1:G1)*(C9:G9+D9:H9)/2)</f>
        <v>80.888687041698759</v>
      </c>
      <c r="K9" s="18" cm="1">
        <f t="array" ref="K9">-SUMPRODUCT((D1:I1-C1:H1)*(C9:H9+D9:I9)/2)</f>
        <v>84.268954965008362</v>
      </c>
      <c r="L9" s="72" t="str">
        <f>"    "&amp;_xlfn.TEXTJOIN(", ",TRUE,C9:I9)&amp;","</f>
        <v xml:space="preserve">    90.3244837758112, 90.3264503441495, 90.7178089775863, 90.619642038426, 89.693595965363, 80.8540212285573, 54.3566957038267,</v>
      </c>
      <c r="M9" s="21" t="s">
        <v>16</v>
      </c>
      <c r="N9" s="19" t="s">
        <v>8</v>
      </c>
      <c r="O9" s="38">
        <v>2.4612095765290198</v>
      </c>
      <c r="P9" s="70">
        <v>2.525321086836271</v>
      </c>
      <c r="Q9" s="70">
        <v>2.403985775181396</v>
      </c>
      <c r="R9" s="70">
        <v>2.5156858704454259</v>
      </c>
      <c r="S9" s="70">
        <v>2.319355412027718</v>
      </c>
      <c r="T9" s="70">
        <v>3.0098935512816571</v>
      </c>
      <c r="U9" s="39">
        <v>5.7680017446574174</v>
      </c>
      <c r="V9" s="72" t="str">
        <f t="shared" si="0"/>
        <v xml:space="preserve">    2.46120957652902, 2.52532108683627, 2.4039857751814, 2.51568587044543, 2.31935541202772, 3.00989355128166, 5.76800174465742,</v>
      </c>
    </row>
    <row r="10" spans="1:22" ht="15.75" customHeight="1" thickBot="1" x14ac:dyDescent="0.25">
      <c r="A10" s="4" t="s">
        <v>17</v>
      </c>
      <c r="B10" s="19" t="s">
        <v>8</v>
      </c>
      <c r="C10" s="40">
        <v>90.295968534906564</v>
      </c>
      <c r="D10" s="41">
        <v>90.405113077679459</v>
      </c>
      <c r="E10" s="41">
        <v>90.529243332554771</v>
      </c>
      <c r="F10" s="41">
        <v>90.464208167890718</v>
      </c>
      <c r="G10" s="41">
        <v>89.370346340942973</v>
      </c>
      <c r="H10" s="41">
        <v>80.495811670804514</v>
      </c>
      <c r="I10" s="42">
        <v>54.200509231625418</v>
      </c>
      <c r="J10" s="18" cm="1">
        <f t="array" ref="J10">-SUMPRODUCT((D1:H1-C1:G1)*(C10:G10+D10:H10)/2)</f>
        <v>80.788810528926135</v>
      </c>
      <c r="K10" s="18" cm="1">
        <f t="array" ref="K10">-SUMPRODUCT((D1:I1-C1:H1)*(C10:H10+D10:I10)/2)</f>
        <v>84.156218551486887</v>
      </c>
      <c r="L10" s="72" t="str">
        <f>"    "&amp;_xlfn.TEXTJOIN(", ",TRUE,C10:I10)&amp;","</f>
        <v xml:space="preserve">    90.2959685349066, 90.4051130776795, 90.5292433325548, 90.4642081678907, 89.370346340943, 80.4958116708045, 54.2005092316254,</v>
      </c>
      <c r="M10" s="4" t="s">
        <v>17</v>
      </c>
      <c r="N10" s="19" t="s">
        <v>8</v>
      </c>
      <c r="O10" s="40">
        <v>2.645635465917767</v>
      </c>
      <c r="P10" s="41">
        <v>2.349990742414489</v>
      </c>
      <c r="Q10" s="41">
        <v>2.284121152514234</v>
      </c>
      <c r="R10" s="41">
        <v>2.4722451039664972</v>
      </c>
      <c r="S10" s="41">
        <v>2.569604191233966</v>
      </c>
      <c r="T10" s="41">
        <v>3.931910154117956</v>
      </c>
      <c r="U10" s="42">
        <v>6.3131910290344502</v>
      </c>
      <c r="V10" s="72" t="str">
        <f t="shared" si="0"/>
        <v xml:space="preserve">    2.64563546591777, 2.34999074241449, 2.28412115251423, 2.4722451039665, 2.56960419123397, 3.93191015411796, 6.31319102903445,</v>
      </c>
    </row>
    <row r="11" spans="1:22" ht="15.75" customHeight="1" thickBot="1" x14ac:dyDescent="0.25">
      <c r="A11" s="85" t="s">
        <v>22</v>
      </c>
      <c r="B11" s="87"/>
      <c r="C11" s="88"/>
      <c r="D11" s="88"/>
      <c r="E11" s="88"/>
      <c r="F11" s="88"/>
      <c r="G11" s="88"/>
      <c r="H11" s="88"/>
      <c r="I11" s="84"/>
      <c r="J11" s="18"/>
      <c r="K11" s="18"/>
      <c r="L11" s="72"/>
      <c r="M11" s="85" t="s">
        <v>22</v>
      </c>
      <c r="N11" s="87"/>
      <c r="O11" s="88"/>
      <c r="P11" s="88"/>
      <c r="Q11" s="88"/>
      <c r="R11" s="88"/>
      <c r="S11" s="88"/>
      <c r="T11" s="88"/>
      <c r="U11" s="84"/>
      <c r="V11" s="72"/>
    </row>
    <row r="12" spans="1:22" ht="15.75" customHeight="1" thickBot="1" x14ac:dyDescent="0.25">
      <c r="A12" s="85" t="s">
        <v>9</v>
      </c>
      <c r="B12" s="86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85" t="s">
        <v>9</v>
      </c>
      <c r="N12" s="86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3" t="s">
        <v>10</v>
      </c>
      <c r="B13" s="84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85" t="s">
        <v>10</v>
      </c>
      <c r="N13" s="86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85" t="s">
        <v>18</v>
      </c>
      <c r="B14" s="86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85" t="s">
        <v>18</v>
      </c>
      <c r="N14" s="86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85" t="s">
        <v>19</v>
      </c>
      <c r="B15" s="86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85" t="s">
        <v>19</v>
      </c>
      <c r="N15" s="86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77" t="s">
        <v>20</v>
      </c>
      <c r="B18" s="79"/>
      <c r="C18" s="79"/>
      <c r="D18" s="79"/>
      <c r="E18" s="79"/>
      <c r="F18" s="79"/>
      <c r="G18" s="79"/>
      <c r="H18" s="79"/>
      <c r="I18" s="78"/>
      <c r="J18" s="14"/>
      <c r="K18" s="14"/>
      <c r="L18" s="74"/>
      <c r="M18" s="77" t="s">
        <v>20</v>
      </c>
      <c r="N18" s="79"/>
      <c r="O18" s="79"/>
      <c r="P18" s="79"/>
      <c r="Q18" s="79"/>
      <c r="R18" s="79"/>
      <c r="S18" s="79"/>
      <c r="T18" s="79"/>
      <c r="U18" s="78"/>
      <c r="V18" s="74"/>
    </row>
    <row r="19" spans="1:22" ht="15.75" thickBot="1" x14ac:dyDescent="0.25">
      <c r="A19" s="77" t="s">
        <v>6</v>
      </c>
      <c r="B19" s="78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77" t="s">
        <v>2</v>
      </c>
      <c r="N19" s="78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7" t="s">
        <v>7</v>
      </c>
      <c r="B20" s="78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77" t="s">
        <v>7</v>
      </c>
      <c r="N20" s="78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7" t="s">
        <v>12</v>
      </c>
      <c r="B21" s="78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77" t="s">
        <v>12</v>
      </c>
      <c r="N21" s="78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7" t="s">
        <v>21</v>
      </c>
      <c r="B22" s="79"/>
      <c r="C22" s="79"/>
      <c r="D22" s="79"/>
      <c r="E22" s="79"/>
      <c r="F22" s="79"/>
      <c r="G22" s="79"/>
      <c r="H22" s="79"/>
      <c r="I22" s="78"/>
      <c r="J22" s="24"/>
      <c r="K22" s="24"/>
      <c r="L22" s="74"/>
      <c r="M22" s="77" t="s">
        <v>21</v>
      </c>
      <c r="N22" s="79"/>
      <c r="O22" s="79"/>
      <c r="P22" s="79"/>
      <c r="Q22" s="79"/>
      <c r="R22" s="79"/>
      <c r="S22" s="79"/>
      <c r="T22" s="79"/>
      <c r="U22" s="78"/>
      <c r="V22" s="74"/>
    </row>
    <row r="23" spans="1:22" ht="15.75" thickBot="1" x14ac:dyDescent="0.25">
      <c r="A23" s="28" t="s">
        <v>13</v>
      </c>
      <c r="B23" s="20" t="s">
        <v>8</v>
      </c>
      <c r="C23" s="43">
        <v>89.514481634775166</v>
      </c>
      <c r="D23" s="44">
        <v>89.35226628038626</v>
      </c>
      <c r="E23" s="44">
        <v>89.889882113348023</v>
      </c>
      <c r="F23" s="44">
        <v>89.693959341680312</v>
      </c>
      <c r="G23" s="44">
        <v>89.3083680428701</v>
      </c>
      <c r="H23" s="44">
        <v>78.109634135440473</v>
      </c>
      <c r="I23" s="45">
        <v>52.908047219273321</v>
      </c>
      <c r="J23" s="24"/>
      <c r="K23" s="24"/>
      <c r="L23" s="74" t="str">
        <f t="shared" si="3"/>
        <v xml:space="preserve">    89.5144816347752, 89.3522662803863, 89.889882113348, 89.6939593416803, 89.3083680428701, 78.1096341354405, 52.9080472192733,</v>
      </c>
      <c r="M23" s="28" t="s">
        <v>13</v>
      </c>
      <c r="N23" s="20" t="s">
        <v>8</v>
      </c>
      <c r="O23" s="43">
        <v>2.2815120002105602</v>
      </c>
      <c r="P23" s="44">
        <v>2.7596621761372591</v>
      </c>
      <c r="Q23" s="44">
        <v>2.631245263659221</v>
      </c>
      <c r="R23" s="44">
        <v>2.142598961257046</v>
      </c>
      <c r="S23" s="44">
        <v>2.2739377639559981</v>
      </c>
      <c r="T23" s="44">
        <v>3.6605618273690772</v>
      </c>
      <c r="U23" s="45">
        <v>6.4776453889356134</v>
      </c>
      <c r="V23" s="74" t="str">
        <f t="shared" si="2"/>
        <v xml:space="preserve">    2.28151200021056, 2.75966217613726, 2.63124526365922, 2.14259896125705, 2.273937763956, 3.66056182736908, 6.47764538893561,</v>
      </c>
    </row>
    <row r="24" spans="1:22" ht="15.75" thickBot="1" x14ac:dyDescent="0.25">
      <c r="A24" s="28" t="s">
        <v>14</v>
      </c>
      <c r="B24" s="20" t="s">
        <v>8</v>
      </c>
      <c r="C24" s="46">
        <v>89.722194144414999</v>
      </c>
      <c r="D24" s="71">
        <v>89.876063293112125</v>
      </c>
      <c r="E24" s="71">
        <v>90.143690728825661</v>
      </c>
      <c r="F24" s="71">
        <v>90.237336220632514</v>
      </c>
      <c r="G24" s="71">
        <v>89.505201006889621</v>
      </c>
      <c r="H24" s="71">
        <v>79.720632885053732</v>
      </c>
      <c r="I24" s="47">
        <v>51.356759287161701</v>
      </c>
      <c r="J24" s="24"/>
      <c r="K24" s="24"/>
      <c r="L24" s="74" t="str">
        <f t="shared" si="3"/>
        <v xml:space="preserve">    89.722194144415, 89.8760632931121, 90.1436907288257, 90.2373362206325, 89.5052010068896, 79.7206328850537, 51.3567592871617,</v>
      </c>
      <c r="M24" s="28" t="s">
        <v>14</v>
      </c>
      <c r="N24" s="20" t="s">
        <v>8</v>
      </c>
      <c r="O24" s="46">
        <v>2.78689485223369</v>
      </c>
      <c r="P24" s="71">
        <v>2.7334151104512281</v>
      </c>
      <c r="Q24" s="71">
        <v>2.4326087940349241</v>
      </c>
      <c r="R24" s="71">
        <v>2.5520176157742678</v>
      </c>
      <c r="S24" s="71">
        <v>2.0754688322976449</v>
      </c>
      <c r="T24" s="71">
        <v>3.4776026331680172</v>
      </c>
      <c r="U24" s="47">
        <v>6.3395093346148803</v>
      </c>
      <c r="V24" s="74" t="str">
        <f t="shared" si="2"/>
        <v xml:space="preserve">    2.78689485223369, 2.73341511045123, 2.43260879403492, 2.55201761577427, 2.07546883229764, 3.47760263316802, 6.33950933461488,</v>
      </c>
    </row>
    <row r="25" spans="1:22" ht="15.75" thickBot="1" x14ac:dyDescent="0.25">
      <c r="A25" s="28" t="s">
        <v>15</v>
      </c>
      <c r="B25" s="20" t="s">
        <v>8</v>
      </c>
      <c r="C25" s="46">
        <v>89.683025366528668</v>
      </c>
      <c r="D25" s="71">
        <v>90.042266533255614</v>
      </c>
      <c r="E25" s="71">
        <v>90.195583741217689</v>
      </c>
      <c r="F25" s="71">
        <v>90.225931061916043</v>
      </c>
      <c r="G25" s="71">
        <v>89.29075279420411</v>
      </c>
      <c r="H25" s="71">
        <v>80.060631972944549</v>
      </c>
      <c r="I25" s="47">
        <v>53.344968408285787</v>
      </c>
      <c r="J25" s="24"/>
      <c r="K25" s="24"/>
      <c r="L25" s="74" t="str">
        <f t="shared" si="3"/>
        <v xml:space="preserve">    89.6830253665287, 90.0422665332556, 90.1955837412177, 90.225931061916, 89.2907527942041, 80.0606319729445, 53.3449684082858,</v>
      </c>
      <c r="M25" s="28" t="s">
        <v>15</v>
      </c>
      <c r="N25" s="20" t="s">
        <v>8</v>
      </c>
      <c r="O25" s="46">
        <v>2.7295518142785422</v>
      </c>
      <c r="P25" s="71">
        <v>2.5204108003615828</v>
      </c>
      <c r="Q25" s="71">
        <v>2.4562640537318989</v>
      </c>
      <c r="R25" s="71">
        <v>2.5043715102198392</v>
      </c>
      <c r="S25" s="71">
        <v>2.5482683480909909</v>
      </c>
      <c r="T25" s="71">
        <v>3.8859412701338449</v>
      </c>
      <c r="U25" s="47">
        <v>7.3155991450310127</v>
      </c>
      <c r="V25" s="74" t="str">
        <f t="shared" si="2"/>
        <v xml:space="preserve">    2.72955181427854, 2.52041080036158, 2.4562640537319, 2.50437151021984, 2.54826834809099, 3.88594127013384, 7.31559914503101,</v>
      </c>
    </row>
    <row r="26" spans="1:22" ht="15.75" thickBot="1" x14ac:dyDescent="0.25">
      <c r="A26" s="28" t="s">
        <v>16</v>
      </c>
      <c r="B26" s="20" t="s">
        <v>8</v>
      </c>
      <c r="C26" s="46">
        <v>89.762518297717378</v>
      </c>
      <c r="D26" s="71">
        <v>89.745163012478045</v>
      </c>
      <c r="E26" s="71">
        <v>90.262076629074585</v>
      </c>
      <c r="F26" s="71">
        <v>90.133497412355894</v>
      </c>
      <c r="G26" s="71">
        <v>89.311142523030313</v>
      </c>
      <c r="H26" s="71">
        <v>80.499534319047356</v>
      </c>
      <c r="I26" s="47">
        <v>53.152491090717241</v>
      </c>
      <c r="J26" s="24"/>
      <c r="K26" s="24"/>
      <c r="L26" s="74" t="str">
        <f t="shared" si="3"/>
        <v xml:space="preserve">    89.7625182977174, 89.745163012478, 90.2620766290746, 90.1334974123559, 89.3111425230303, 80.4995343190474, 53.1524910907172,</v>
      </c>
      <c r="M26" s="28" t="s">
        <v>16</v>
      </c>
      <c r="N26" s="20" t="s">
        <v>8</v>
      </c>
      <c r="O26" s="46">
        <v>2.721031761498975</v>
      </c>
      <c r="P26" s="71">
        <v>2.715299564487561</v>
      </c>
      <c r="Q26" s="71">
        <v>2.6314997170658869</v>
      </c>
      <c r="R26" s="71">
        <v>2.6925214353650291</v>
      </c>
      <c r="S26" s="71">
        <v>2.429839167634178</v>
      </c>
      <c r="T26" s="71">
        <v>3.0297405504591151</v>
      </c>
      <c r="U26" s="47">
        <v>5.9339951791463079</v>
      </c>
      <c r="V26" s="74" t="str">
        <f t="shared" si="2"/>
        <v xml:space="preserve">    2.72103176149897, 2.71529956448756, 2.63149971706589, 2.69252143536503, 2.42983916763418, 3.02974055045912, 5.93399517914631,</v>
      </c>
    </row>
    <row r="27" spans="1:22" ht="15.75" thickBot="1" x14ac:dyDescent="0.25">
      <c r="A27" s="29" t="s">
        <v>17</v>
      </c>
      <c r="B27" s="20" t="s">
        <v>8</v>
      </c>
      <c r="C27" s="48">
        <v>89.74449346032101</v>
      </c>
      <c r="D27" s="49">
        <v>89.961854893326574</v>
      </c>
      <c r="E27" s="49">
        <v>90.011537582574022</v>
      </c>
      <c r="F27" s="49">
        <v>90.064770133428496</v>
      </c>
      <c r="G27" s="49">
        <v>88.967446677518851</v>
      </c>
      <c r="H27" s="49">
        <v>80.083589667611676</v>
      </c>
      <c r="I27" s="50">
        <v>52.982008110476087</v>
      </c>
      <c r="J27" s="24"/>
      <c r="K27" s="24"/>
      <c r="L27" s="74" t="str">
        <f t="shared" si="3"/>
        <v xml:space="preserve">    89.744493460321, 89.9618548933266, 90.011537582574, 90.0647701334285, 88.9674466775189, 80.0835896676117, 52.9820081104761,</v>
      </c>
      <c r="M27" s="29" t="s">
        <v>17</v>
      </c>
      <c r="N27" s="20" t="s">
        <v>8</v>
      </c>
      <c r="O27" s="48">
        <v>2.9793986812049931</v>
      </c>
      <c r="P27" s="49">
        <v>2.5386471681353431</v>
      </c>
      <c r="Q27" s="49">
        <v>2.4449126963196481</v>
      </c>
      <c r="R27" s="49">
        <v>2.6222789037595908</v>
      </c>
      <c r="S27" s="49">
        <v>2.7817641077346069</v>
      </c>
      <c r="T27" s="49">
        <v>4.0935792052005926</v>
      </c>
      <c r="U27" s="50">
        <v>6.5884863469929558</v>
      </c>
      <c r="V27" s="74" t="str">
        <f t="shared" si="2"/>
        <v xml:space="preserve">    2.97939868120499, 2.53864716813534, 2.44491269631965, 2.62227890375959, 2.78176410773461, 4.09357920520059, 6.58848634699296,</v>
      </c>
    </row>
    <row r="28" spans="1:22" ht="15.75" thickBot="1" x14ac:dyDescent="0.25">
      <c r="A28" s="77" t="s">
        <v>22</v>
      </c>
      <c r="B28" s="79"/>
      <c r="C28" s="80"/>
      <c r="D28" s="80"/>
      <c r="E28" s="80"/>
      <c r="F28" s="80"/>
      <c r="G28" s="80"/>
      <c r="H28" s="80"/>
      <c r="I28" s="81"/>
      <c r="J28" s="24"/>
      <c r="K28" s="24"/>
      <c r="L28" s="74"/>
      <c r="M28" s="77" t="s">
        <v>22</v>
      </c>
      <c r="N28" s="79"/>
      <c r="O28" s="80"/>
      <c r="P28" s="80"/>
      <c r="Q28" s="80"/>
      <c r="R28" s="80"/>
      <c r="S28" s="80"/>
      <c r="T28" s="80"/>
      <c r="U28" s="81"/>
      <c r="V28" s="74"/>
    </row>
    <row r="29" spans="1:22" ht="14.25" customHeight="1" thickBot="1" x14ac:dyDescent="0.25">
      <c r="A29" s="77" t="s">
        <v>9</v>
      </c>
      <c r="B29" s="78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77" t="s">
        <v>9</v>
      </c>
      <c r="N29" s="78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2" t="s">
        <v>10</v>
      </c>
      <c r="B30" s="81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77" t="s">
        <v>10</v>
      </c>
      <c r="N30" s="78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77" t="s">
        <v>18</v>
      </c>
      <c r="B31" s="78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77" t="s">
        <v>18</v>
      </c>
      <c r="N31" s="78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77" t="s">
        <v>19</v>
      </c>
      <c r="B32" s="78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77" t="s">
        <v>19</v>
      </c>
      <c r="N32" s="78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A2:I2"/>
    <mergeCell ref="M2:U2"/>
    <mergeCell ref="A3:B3"/>
    <mergeCell ref="M3:N3"/>
    <mergeCell ref="A4:B4"/>
    <mergeCell ref="M4:N4"/>
    <mergeCell ref="A5:I5"/>
    <mergeCell ref="M5:U5"/>
    <mergeCell ref="A11:I11"/>
    <mergeCell ref="M11:U11"/>
    <mergeCell ref="A12:B12"/>
    <mergeCell ref="M12:N12"/>
    <mergeCell ref="A13:B13"/>
    <mergeCell ref="M13:N13"/>
    <mergeCell ref="A14:B14"/>
    <mergeCell ref="M14:N14"/>
    <mergeCell ref="A15:B15"/>
    <mergeCell ref="M15:N15"/>
    <mergeCell ref="A18:I18"/>
    <mergeCell ref="M18:U18"/>
    <mergeCell ref="A19:B19"/>
    <mergeCell ref="M19:N19"/>
    <mergeCell ref="A20:B20"/>
    <mergeCell ref="M20:N20"/>
    <mergeCell ref="A21:B21"/>
    <mergeCell ref="M21:N21"/>
    <mergeCell ref="A22:I22"/>
    <mergeCell ref="M22:U22"/>
    <mergeCell ref="A31:B31"/>
    <mergeCell ref="M31:N31"/>
    <mergeCell ref="A32:B32"/>
    <mergeCell ref="M32:N32"/>
    <mergeCell ref="A28:I28"/>
    <mergeCell ref="M28:U28"/>
    <mergeCell ref="A29:B29"/>
    <mergeCell ref="M29:N29"/>
    <mergeCell ref="A30:B30"/>
    <mergeCell ref="M30:N30"/>
  </mergeCells>
  <phoneticPr fontId="1" type="noConversion"/>
  <conditionalFormatting sqref="C3:I4 C6:I10 C12:I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15 C3:K4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85" t="s">
        <v>20</v>
      </c>
      <c r="B2" s="87"/>
      <c r="C2" s="87"/>
      <c r="D2" s="87"/>
      <c r="E2" s="87"/>
      <c r="F2" s="87"/>
      <c r="G2" s="87"/>
      <c r="H2" s="87"/>
      <c r="I2" s="86"/>
      <c r="J2" s="13"/>
      <c r="K2" s="13"/>
      <c r="L2" s="72"/>
      <c r="M2" s="85" t="s">
        <v>20</v>
      </c>
      <c r="N2" s="87"/>
      <c r="O2" s="87"/>
      <c r="P2" s="87"/>
      <c r="Q2" s="87"/>
      <c r="R2" s="87"/>
      <c r="S2" s="87"/>
      <c r="T2" s="87"/>
      <c r="U2" s="86"/>
      <c r="V2" s="72"/>
    </row>
    <row r="3" spans="1:22" ht="15.75" thickBot="1" x14ac:dyDescent="0.25">
      <c r="A3" s="85" t="s">
        <v>6</v>
      </c>
      <c r="B3" s="86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85" t="s">
        <v>6</v>
      </c>
      <c r="N3" s="86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5" t="s">
        <v>12</v>
      </c>
      <c r="B4" s="86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85" t="s">
        <v>12</v>
      </c>
      <c r="N4" s="86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85" t="s">
        <v>21</v>
      </c>
      <c r="B5" s="87"/>
      <c r="C5" s="87"/>
      <c r="D5" s="87"/>
      <c r="E5" s="87"/>
      <c r="F5" s="87"/>
      <c r="G5" s="87"/>
      <c r="H5" s="87"/>
      <c r="I5" s="86"/>
      <c r="J5" s="18"/>
      <c r="K5" s="18"/>
      <c r="L5" s="72"/>
      <c r="M5" s="85" t="s">
        <v>21</v>
      </c>
      <c r="N5" s="87"/>
      <c r="O5" s="87"/>
      <c r="P5" s="87"/>
      <c r="Q5" s="87"/>
      <c r="R5" s="87"/>
      <c r="S5" s="87"/>
      <c r="T5" s="87"/>
      <c r="U5" s="86"/>
      <c r="V5" s="72"/>
    </row>
    <row r="6" spans="1:22" ht="15.75" customHeight="1" thickBot="1" x14ac:dyDescent="0.25">
      <c r="A6" s="21" t="s">
        <v>13</v>
      </c>
      <c r="B6" s="19" t="s">
        <v>8</v>
      </c>
      <c r="C6" s="35"/>
      <c r="D6" s="36"/>
      <c r="E6" s="36"/>
      <c r="F6" s="36"/>
      <c r="G6" s="36"/>
      <c r="H6" s="36"/>
      <c r="I6" s="37"/>
      <c r="J6" s="18" cm="1">
        <f t="array" ref="J6">-SUMPRODUCT((D1:H1-C1:G1)*(C6:G6+D6:H6)/2)</f>
        <v>0</v>
      </c>
      <c r="K6" s="18" cm="1">
        <f t="array" ref="K6">-SUMPRODUCT((D1:I1-C1:H1)*(C6:H6+D6:I6)/2)</f>
        <v>0</v>
      </c>
      <c r="L6" s="72" t="str">
        <f>"    "&amp;_xlfn.TEXTJOIN(", ",TRUE,C6:I6)&amp;","</f>
        <v xml:space="preserve">    ,</v>
      </c>
      <c r="M6" s="21" t="s">
        <v>13</v>
      </c>
      <c r="N6" s="19" t="s">
        <v>8</v>
      </c>
      <c r="O6" s="35"/>
      <c r="P6" s="36"/>
      <c r="Q6" s="36"/>
      <c r="R6" s="36"/>
      <c r="S6" s="36"/>
      <c r="T6" s="36"/>
      <c r="U6" s="37"/>
      <c r="V6" s="72" t="str">
        <f t="shared" si="0"/>
        <v xml:space="preserve">    ,</v>
      </c>
    </row>
    <row r="7" spans="1:22" ht="15.75" customHeight="1" thickBot="1" x14ac:dyDescent="0.25">
      <c r="A7" s="21" t="s">
        <v>14</v>
      </c>
      <c r="B7" s="19" t="s">
        <v>8</v>
      </c>
      <c r="C7" s="38"/>
      <c r="D7" s="70"/>
      <c r="E7" s="70"/>
      <c r="F7" s="70"/>
      <c r="G7" s="70"/>
      <c r="H7" s="70"/>
      <c r="I7" s="39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72" t="str">
        <f>"    "&amp;_xlfn.TEXTJOIN(", ",TRUE,C7:I7)&amp;","</f>
        <v xml:space="preserve">    ,</v>
      </c>
      <c r="M7" s="21" t="s">
        <v>14</v>
      </c>
      <c r="N7" s="19" t="s">
        <v>8</v>
      </c>
      <c r="O7" s="38"/>
      <c r="P7" s="70"/>
      <c r="Q7" s="70"/>
      <c r="R7" s="70"/>
      <c r="S7" s="70"/>
      <c r="T7" s="70"/>
      <c r="U7" s="39"/>
      <c r="V7" s="72" t="str">
        <f t="shared" si="0"/>
        <v xml:space="preserve">    ,</v>
      </c>
    </row>
    <row r="8" spans="1:22" ht="15.75" customHeight="1" thickBot="1" x14ac:dyDescent="0.25">
      <c r="A8" s="21" t="s">
        <v>15</v>
      </c>
      <c r="B8" s="19" t="s">
        <v>8</v>
      </c>
      <c r="C8" s="38"/>
      <c r="D8" s="70"/>
      <c r="E8" s="70"/>
      <c r="F8" s="70"/>
      <c r="G8" s="70"/>
      <c r="H8" s="70"/>
      <c r="I8" s="39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72" t="str">
        <f>"    "&amp;_xlfn.TEXTJOIN(", ",TRUE,C8:I8)&amp;","</f>
        <v xml:space="preserve">    ,</v>
      </c>
      <c r="M8" s="21" t="s">
        <v>15</v>
      </c>
      <c r="N8" s="19" t="s">
        <v>8</v>
      </c>
      <c r="O8" s="38"/>
      <c r="P8" s="70"/>
      <c r="Q8" s="70"/>
      <c r="R8" s="70"/>
      <c r="S8" s="70"/>
      <c r="T8" s="70"/>
      <c r="U8" s="39"/>
      <c r="V8" s="72" t="str">
        <f t="shared" si="0"/>
        <v xml:space="preserve">    ,</v>
      </c>
    </row>
    <row r="9" spans="1:22" ht="15.75" customHeight="1" thickBot="1" x14ac:dyDescent="0.25">
      <c r="A9" s="21" t="s">
        <v>16</v>
      </c>
      <c r="B9" s="19" t="s">
        <v>8</v>
      </c>
      <c r="C9" s="38"/>
      <c r="D9" s="70"/>
      <c r="E9" s="70"/>
      <c r="F9" s="70"/>
      <c r="G9" s="70"/>
      <c r="H9" s="70"/>
      <c r="I9" s="39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72" t="str">
        <f>"    "&amp;_xlfn.TEXTJOIN(", ",TRUE,C9:I9)&amp;","</f>
        <v xml:space="preserve">    ,</v>
      </c>
      <c r="M9" s="21" t="s">
        <v>16</v>
      </c>
      <c r="N9" s="19" t="s">
        <v>8</v>
      </c>
      <c r="O9" s="38"/>
      <c r="P9" s="70"/>
      <c r="Q9" s="70"/>
      <c r="R9" s="70"/>
      <c r="S9" s="70"/>
      <c r="T9" s="70"/>
      <c r="U9" s="39"/>
      <c r="V9" s="72" t="str">
        <f t="shared" si="0"/>
        <v xml:space="preserve">    ,</v>
      </c>
    </row>
    <row r="10" spans="1:22" ht="15.75" customHeight="1" thickBot="1" x14ac:dyDescent="0.25">
      <c r="A10" s="4" t="s">
        <v>17</v>
      </c>
      <c r="B10" s="19" t="s">
        <v>8</v>
      </c>
      <c r="C10" s="40"/>
      <c r="D10" s="41"/>
      <c r="E10" s="41"/>
      <c r="F10" s="41"/>
      <c r="G10" s="41"/>
      <c r="H10" s="41"/>
      <c r="I10" s="42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72" t="str">
        <f>"    "&amp;_xlfn.TEXTJOIN(", ",TRUE,C10:I10)&amp;","</f>
        <v xml:space="preserve">    ,</v>
      </c>
      <c r="M10" s="4" t="s">
        <v>17</v>
      </c>
      <c r="N10" s="19" t="s">
        <v>8</v>
      </c>
      <c r="O10" s="40"/>
      <c r="P10" s="41"/>
      <c r="Q10" s="41"/>
      <c r="R10" s="41"/>
      <c r="S10" s="41"/>
      <c r="T10" s="41"/>
      <c r="U10" s="42"/>
      <c r="V10" s="72" t="str">
        <f t="shared" si="0"/>
        <v xml:space="preserve">    ,</v>
      </c>
    </row>
    <row r="11" spans="1:22" ht="15.75" customHeight="1" thickBot="1" x14ac:dyDescent="0.25">
      <c r="A11" s="85" t="s">
        <v>22</v>
      </c>
      <c r="B11" s="87"/>
      <c r="C11" s="88"/>
      <c r="D11" s="88"/>
      <c r="E11" s="88"/>
      <c r="F11" s="88"/>
      <c r="G11" s="88"/>
      <c r="H11" s="88"/>
      <c r="I11" s="84"/>
      <c r="J11" s="18"/>
      <c r="K11" s="18"/>
      <c r="L11" s="72"/>
      <c r="M11" s="85" t="s">
        <v>22</v>
      </c>
      <c r="N11" s="87"/>
      <c r="O11" s="88"/>
      <c r="P11" s="88"/>
      <c r="Q11" s="88"/>
      <c r="R11" s="88"/>
      <c r="S11" s="88"/>
      <c r="T11" s="88"/>
      <c r="U11" s="84"/>
      <c r="V11" s="72"/>
    </row>
    <row r="12" spans="1:22" ht="15.75" customHeight="1" thickBot="1" x14ac:dyDescent="0.25">
      <c r="A12" s="85" t="s">
        <v>9</v>
      </c>
      <c r="B12" s="86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85" t="s">
        <v>9</v>
      </c>
      <c r="N12" s="86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3" t="s">
        <v>10</v>
      </c>
      <c r="B13" s="84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85" t="s">
        <v>10</v>
      </c>
      <c r="N13" s="86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85" t="s">
        <v>18</v>
      </c>
      <c r="B14" s="86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85" t="s">
        <v>18</v>
      </c>
      <c r="N14" s="86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85" t="s">
        <v>19</v>
      </c>
      <c r="B15" s="86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85" t="s">
        <v>19</v>
      </c>
      <c r="N15" s="86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77" t="s">
        <v>20</v>
      </c>
      <c r="B18" s="79"/>
      <c r="C18" s="79"/>
      <c r="D18" s="79"/>
      <c r="E18" s="79"/>
      <c r="F18" s="79"/>
      <c r="G18" s="79"/>
      <c r="H18" s="79"/>
      <c r="I18" s="78"/>
      <c r="J18" s="14"/>
      <c r="K18" s="14"/>
      <c r="L18" s="74"/>
      <c r="M18" s="77" t="s">
        <v>20</v>
      </c>
      <c r="N18" s="79"/>
      <c r="O18" s="79"/>
      <c r="P18" s="79"/>
      <c r="Q18" s="79"/>
      <c r="R18" s="79"/>
      <c r="S18" s="79"/>
      <c r="T18" s="79"/>
      <c r="U18" s="78"/>
      <c r="V18" s="74"/>
    </row>
    <row r="19" spans="1:22" ht="15.75" thickBot="1" x14ac:dyDescent="0.25">
      <c r="A19" s="77" t="s">
        <v>6</v>
      </c>
      <c r="B19" s="78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77" t="s">
        <v>2</v>
      </c>
      <c r="N19" s="78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7" t="s">
        <v>7</v>
      </c>
      <c r="B20" s="78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77" t="s">
        <v>7</v>
      </c>
      <c r="N20" s="78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7" t="s">
        <v>12</v>
      </c>
      <c r="B21" s="78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77" t="s">
        <v>12</v>
      </c>
      <c r="N21" s="78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7" t="s">
        <v>21</v>
      </c>
      <c r="B22" s="79"/>
      <c r="C22" s="79"/>
      <c r="D22" s="79"/>
      <c r="E22" s="79"/>
      <c r="F22" s="79"/>
      <c r="G22" s="79"/>
      <c r="H22" s="79"/>
      <c r="I22" s="78"/>
      <c r="J22" s="24"/>
      <c r="K22" s="24"/>
      <c r="L22" s="74"/>
      <c r="M22" s="77" t="s">
        <v>21</v>
      </c>
      <c r="N22" s="79"/>
      <c r="O22" s="79"/>
      <c r="P22" s="79"/>
      <c r="Q22" s="79"/>
      <c r="R22" s="79"/>
      <c r="S22" s="79"/>
      <c r="T22" s="79"/>
      <c r="U22" s="78"/>
      <c r="V22" s="74"/>
    </row>
    <row r="23" spans="1:22" ht="15.75" thickBot="1" x14ac:dyDescent="0.25">
      <c r="A23" s="28" t="s">
        <v>13</v>
      </c>
      <c r="B23" s="20" t="s">
        <v>8</v>
      </c>
      <c r="C23" s="43"/>
      <c r="D23" s="44"/>
      <c r="E23" s="44"/>
      <c r="F23" s="44"/>
      <c r="G23" s="44"/>
      <c r="H23" s="44"/>
      <c r="I23" s="45"/>
      <c r="J23" s="24"/>
      <c r="K23" s="24"/>
      <c r="L23" s="74" t="str">
        <f t="shared" si="3"/>
        <v xml:space="preserve">    ,</v>
      </c>
      <c r="M23" s="28" t="s">
        <v>13</v>
      </c>
      <c r="N23" s="20" t="s">
        <v>8</v>
      </c>
      <c r="O23" s="43"/>
      <c r="P23" s="44"/>
      <c r="Q23" s="44"/>
      <c r="R23" s="44"/>
      <c r="S23" s="44"/>
      <c r="T23" s="44"/>
      <c r="U23" s="45"/>
      <c r="V23" s="74" t="str">
        <f t="shared" si="2"/>
        <v xml:space="preserve">    ,</v>
      </c>
    </row>
    <row r="24" spans="1:22" ht="15.75" thickBot="1" x14ac:dyDescent="0.25">
      <c r="A24" s="28" t="s">
        <v>14</v>
      </c>
      <c r="B24" s="20" t="s">
        <v>8</v>
      </c>
      <c r="C24" s="46"/>
      <c r="D24" s="71"/>
      <c r="E24" s="71"/>
      <c r="F24" s="71"/>
      <c r="G24" s="71"/>
      <c r="H24" s="71"/>
      <c r="I24" s="47"/>
      <c r="J24" s="24"/>
      <c r="K24" s="24"/>
      <c r="L24" s="74" t="str">
        <f t="shared" si="3"/>
        <v xml:space="preserve">    ,</v>
      </c>
      <c r="M24" s="28" t="s">
        <v>14</v>
      </c>
      <c r="N24" s="20" t="s">
        <v>8</v>
      </c>
      <c r="O24" s="46"/>
      <c r="P24" s="71"/>
      <c r="Q24" s="71"/>
      <c r="R24" s="71"/>
      <c r="S24" s="71"/>
      <c r="T24" s="71"/>
      <c r="U24" s="47"/>
      <c r="V24" s="74" t="str">
        <f t="shared" si="2"/>
        <v xml:space="preserve">    ,</v>
      </c>
    </row>
    <row r="25" spans="1:22" ht="15.75" thickBot="1" x14ac:dyDescent="0.25">
      <c r="A25" s="28" t="s">
        <v>15</v>
      </c>
      <c r="B25" s="20" t="s">
        <v>8</v>
      </c>
      <c r="C25" s="46"/>
      <c r="D25" s="71"/>
      <c r="E25" s="71"/>
      <c r="F25" s="71"/>
      <c r="G25" s="71"/>
      <c r="H25" s="71"/>
      <c r="I25" s="47"/>
      <c r="J25" s="24"/>
      <c r="K25" s="24"/>
      <c r="L25" s="74" t="str">
        <f t="shared" si="3"/>
        <v xml:space="preserve">    ,</v>
      </c>
      <c r="M25" s="28" t="s">
        <v>15</v>
      </c>
      <c r="N25" s="20" t="s">
        <v>8</v>
      </c>
      <c r="O25" s="46"/>
      <c r="P25" s="71"/>
      <c r="Q25" s="71"/>
      <c r="R25" s="71"/>
      <c r="S25" s="71"/>
      <c r="T25" s="71"/>
      <c r="U25" s="47"/>
      <c r="V25" s="74" t="str">
        <f t="shared" si="2"/>
        <v xml:space="preserve">    ,</v>
      </c>
    </row>
    <row r="26" spans="1:22" ht="15.75" thickBot="1" x14ac:dyDescent="0.25">
      <c r="A26" s="28" t="s">
        <v>16</v>
      </c>
      <c r="B26" s="20" t="s">
        <v>8</v>
      </c>
      <c r="C26" s="46"/>
      <c r="D26" s="71"/>
      <c r="E26" s="71"/>
      <c r="F26" s="71"/>
      <c r="G26" s="71"/>
      <c r="H26" s="71"/>
      <c r="I26" s="47"/>
      <c r="J26" s="24"/>
      <c r="K26" s="24"/>
      <c r="L26" s="74" t="str">
        <f t="shared" si="3"/>
        <v xml:space="preserve">    ,</v>
      </c>
      <c r="M26" s="28" t="s">
        <v>16</v>
      </c>
      <c r="N26" s="20" t="s">
        <v>8</v>
      </c>
      <c r="O26" s="46"/>
      <c r="P26" s="71"/>
      <c r="Q26" s="71"/>
      <c r="R26" s="71"/>
      <c r="S26" s="71"/>
      <c r="T26" s="71"/>
      <c r="U26" s="47"/>
      <c r="V26" s="74" t="str">
        <f t="shared" si="2"/>
        <v xml:space="preserve">    ,</v>
      </c>
    </row>
    <row r="27" spans="1:22" ht="15.75" thickBot="1" x14ac:dyDescent="0.25">
      <c r="A27" s="29" t="s">
        <v>17</v>
      </c>
      <c r="B27" s="20" t="s">
        <v>8</v>
      </c>
      <c r="C27" s="48"/>
      <c r="D27" s="49"/>
      <c r="E27" s="49"/>
      <c r="F27" s="49"/>
      <c r="G27" s="49"/>
      <c r="H27" s="49"/>
      <c r="I27" s="50"/>
      <c r="J27" s="24"/>
      <c r="K27" s="24"/>
      <c r="L27" s="74" t="str">
        <f t="shared" si="3"/>
        <v xml:space="preserve">    ,</v>
      </c>
      <c r="M27" s="29" t="s">
        <v>17</v>
      </c>
      <c r="N27" s="20" t="s">
        <v>8</v>
      </c>
      <c r="O27" s="48"/>
      <c r="P27" s="49"/>
      <c r="Q27" s="49"/>
      <c r="R27" s="49"/>
      <c r="S27" s="49"/>
      <c r="T27" s="49"/>
      <c r="U27" s="50"/>
      <c r="V27" s="74" t="str">
        <f t="shared" si="2"/>
        <v xml:space="preserve">    ,</v>
      </c>
    </row>
    <row r="28" spans="1:22" ht="15.75" thickBot="1" x14ac:dyDescent="0.25">
      <c r="A28" s="77" t="s">
        <v>22</v>
      </c>
      <c r="B28" s="79"/>
      <c r="C28" s="80"/>
      <c r="D28" s="80"/>
      <c r="E28" s="80"/>
      <c r="F28" s="80"/>
      <c r="G28" s="80"/>
      <c r="H28" s="80"/>
      <c r="I28" s="81"/>
      <c r="J28" s="24"/>
      <c r="K28" s="24"/>
      <c r="L28" s="74"/>
      <c r="M28" s="77" t="s">
        <v>22</v>
      </c>
      <c r="N28" s="79"/>
      <c r="O28" s="80"/>
      <c r="P28" s="80"/>
      <c r="Q28" s="80"/>
      <c r="R28" s="80"/>
      <c r="S28" s="80"/>
      <c r="T28" s="80"/>
      <c r="U28" s="81"/>
      <c r="V28" s="74"/>
    </row>
    <row r="29" spans="1:22" ht="14.25" customHeight="1" thickBot="1" x14ac:dyDescent="0.25">
      <c r="A29" s="77" t="s">
        <v>9</v>
      </c>
      <c r="B29" s="78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77" t="s">
        <v>9</v>
      </c>
      <c r="N29" s="78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2" t="s">
        <v>10</v>
      </c>
      <c r="B30" s="81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77" t="s">
        <v>10</v>
      </c>
      <c r="N30" s="78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77" t="s">
        <v>18</v>
      </c>
      <c r="B31" s="78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77" t="s">
        <v>18</v>
      </c>
      <c r="N31" s="78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77" t="s">
        <v>19</v>
      </c>
      <c r="B32" s="78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77" t="s">
        <v>19</v>
      </c>
      <c r="N32" s="78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M22:U22"/>
    <mergeCell ref="M5:U5"/>
    <mergeCell ref="A2:I2"/>
    <mergeCell ref="M2:U2"/>
    <mergeCell ref="A18:I18"/>
    <mergeCell ref="M18:U18"/>
    <mergeCell ref="A22:I22"/>
    <mergeCell ref="M12:N12"/>
    <mergeCell ref="M13:N13"/>
    <mergeCell ref="A20:B20"/>
    <mergeCell ref="M20:N20"/>
    <mergeCell ref="A21:B21"/>
    <mergeCell ref="M21:N21"/>
    <mergeCell ref="A14:B14"/>
    <mergeCell ref="A15:B15"/>
    <mergeCell ref="M14:N14"/>
    <mergeCell ref="A28:I28"/>
    <mergeCell ref="A31:B31"/>
    <mergeCell ref="A32:B32"/>
    <mergeCell ref="M28:U28"/>
    <mergeCell ref="M31:N31"/>
    <mergeCell ref="M32:N32"/>
    <mergeCell ref="A29:B29"/>
    <mergeCell ref="A30:B30"/>
    <mergeCell ref="M29:N29"/>
    <mergeCell ref="M30:N30"/>
    <mergeCell ref="M15:N15"/>
    <mergeCell ref="A3:B3"/>
    <mergeCell ref="M3:N3"/>
    <mergeCell ref="A19:B19"/>
    <mergeCell ref="M19:N19"/>
    <mergeCell ref="A12:B12"/>
    <mergeCell ref="A13:B13"/>
    <mergeCell ref="A4:B4"/>
    <mergeCell ref="M4:N4"/>
    <mergeCell ref="A11:I11"/>
    <mergeCell ref="A5:I5"/>
    <mergeCell ref="M11:U11"/>
  </mergeCells>
  <phoneticPr fontId="1" type="noConversion"/>
  <conditionalFormatting sqref="C3:I4 C6:I10 C12:I1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5:K15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2026-04-29T07:20:31Z</dcterms:modified>
</cp:coreProperties>
</file>