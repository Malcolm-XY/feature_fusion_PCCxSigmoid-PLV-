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RnD_Repo\Research_Engineeirng\feature_fusion_PCCxSigmoid-PLV-\results_(stress_test)_baselines\"/>
    </mc:Choice>
  </mc:AlternateContent>
  <xr:revisionPtr revIDLastSave="0" documentId="13_ncr:1_{F0BD73A1-3C2C-41D5-84E5-5EAED4D67950}" xr6:coauthVersionLast="47" xr6:coauthVersionMax="47" xr10:uidLastSave="{00000000-0000-0000-0000-000000000000}"/>
  <bookViews>
    <workbookView xWindow="-28920" yWindow="-120" windowWidth="29040" windowHeight="16440" tabRatio="639" xr2:uid="{00000000-000D-0000-FFFF-FFFF00000000}"/>
  </bookViews>
  <sheets>
    <sheet name="partialdata_20260429_unf_idx" sheetId="6" r:id="rId1"/>
    <sheet name="figure" sheetId="8" r:id="rId2"/>
    <sheet name="fullldata_20260524_spt_idx" sheetId="5" r:id="rId3"/>
    <sheet name="confusion_mtx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6" l="1" a="1"/>
  <c r="I9" i="6" s="1"/>
  <c r="H9" i="6" a="1"/>
  <c r="H9" i="6" s="1"/>
  <c r="I8" i="6" a="1"/>
  <c r="I8" i="6" s="1"/>
  <c r="H8" i="6" a="1"/>
  <c r="H8" i="6" s="1"/>
  <c r="I7" i="6" a="1"/>
  <c r="I7" i="6" s="1"/>
  <c r="H7" i="6" a="1"/>
  <c r="H7" i="6" s="1"/>
  <c r="R8" i="6"/>
  <c r="R9" i="6"/>
  <c r="H2" i="6" a="1"/>
  <c r="H2" i="6" s="1"/>
  <c r="I19" i="6" a="1"/>
  <c r="I19" i="6" s="1"/>
  <c r="I18" i="6" a="1"/>
  <c r="I18" i="6" s="1"/>
  <c r="I17" i="6" a="1"/>
  <c r="I17" i="6" s="1"/>
  <c r="I16" i="6" a="1"/>
  <c r="I16" i="6" s="1"/>
  <c r="I14" i="6" a="1"/>
  <c r="I14" i="6" s="1"/>
  <c r="I13" i="6" a="1"/>
  <c r="I13" i="6" s="1"/>
  <c r="H19" i="6" a="1"/>
  <c r="H19" i="6" s="1"/>
  <c r="H18" i="6" a="1"/>
  <c r="H18" i="6" s="1"/>
  <c r="H17" i="6" a="1"/>
  <c r="H17" i="6" s="1"/>
  <c r="H16" i="6" a="1"/>
  <c r="H16" i="6" s="1"/>
  <c r="H13" i="6" a="1"/>
  <c r="H13" i="6" s="1"/>
  <c r="H14" i="6" a="1"/>
  <c r="H14" i="6" s="1"/>
  <c r="H12" i="6" a="1"/>
  <c r="H12" i="6" s="1"/>
  <c r="H11" i="6" a="1"/>
  <c r="H11" i="6" s="1"/>
  <c r="H6" i="6" a="1"/>
  <c r="H6" i="6" s="1"/>
  <c r="H4" i="6" a="1"/>
  <c r="H4" i="6" s="1"/>
  <c r="H3" i="6" a="1"/>
  <c r="H3" i="6" s="1"/>
  <c r="I12" i="6" a="1"/>
  <c r="I12" i="6" s="1"/>
  <c r="I11" i="6" a="1"/>
  <c r="I11" i="6" s="1"/>
  <c r="I6" i="6" a="1"/>
  <c r="I6" i="6" s="1"/>
  <c r="I4" i="6" a="1"/>
  <c r="I4" i="6" s="1"/>
  <c r="I3" i="6" a="1"/>
  <c r="I3" i="6" s="1"/>
  <c r="I2" i="6" a="1"/>
  <c r="I2" i="6" s="1"/>
  <c r="K11" i="5" a="1"/>
  <c r="K11" i="5" s="1"/>
  <c r="J11" i="5" a="1"/>
  <c r="J11" i="5" s="1"/>
  <c r="K10" i="5" a="1"/>
  <c r="K10" i="5" s="1"/>
  <c r="J10" i="5" a="1"/>
  <c r="J10" i="5" s="1"/>
  <c r="K29" i="5" a="1"/>
  <c r="K29" i="5" s="1"/>
  <c r="J29" i="5" a="1"/>
  <c r="J29" i="5" s="1"/>
  <c r="K28" i="5" a="1"/>
  <c r="K28" i="5" s="1"/>
  <c r="J28" i="5" a="1"/>
  <c r="J28" i="5" s="1"/>
  <c r="K27" i="5" a="1"/>
  <c r="K27" i="5" s="1"/>
  <c r="J27" i="5" a="1"/>
  <c r="J27" i="5" s="1"/>
  <c r="K26" i="5" a="1"/>
  <c r="K26" i="5" s="1"/>
  <c r="J26" i="5" a="1"/>
  <c r="J26" i="5" s="1"/>
  <c r="K24" i="5" a="1"/>
  <c r="K24" i="5" s="1"/>
  <c r="L8" i="5"/>
  <c r="L9" i="5"/>
  <c r="L11" i="5"/>
  <c r="L12" i="5"/>
  <c r="L14" i="5"/>
  <c r="K14" i="5" a="1"/>
  <c r="K14" i="5" s="1"/>
  <c r="J14" i="5" a="1"/>
  <c r="J14" i="5" s="1"/>
  <c r="K13" i="5" a="1"/>
  <c r="K13" i="5" s="1"/>
  <c r="V58" i="5"/>
  <c r="L58" i="5"/>
  <c r="V57" i="5"/>
  <c r="L57" i="5"/>
  <c r="V56" i="5"/>
  <c r="L56" i="5"/>
  <c r="V28" i="5"/>
  <c r="L28" i="5"/>
  <c r="V27" i="5"/>
  <c r="L27" i="5"/>
  <c r="V26" i="5"/>
  <c r="L26" i="5"/>
  <c r="J13" i="5" a="1"/>
  <c r="J13" i="5" s="1"/>
  <c r="J12" i="5" a="1"/>
  <c r="J12" i="5" s="1"/>
  <c r="K12" i="5" a="1"/>
  <c r="K12" i="5" s="1"/>
  <c r="R39" i="6"/>
  <c r="R34" i="6"/>
  <c r="R14" i="6"/>
  <c r="R19" i="6"/>
  <c r="J14" i="6"/>
  <c r="J34" i="6"/>
  <c r="J39" i="6"/>
  <c r="J19" i="6"/>
  <c r="R38" i="6"/>
  <c r="J38" i="6"/>
  <c r="R37" i="6"/>
  <c r="J37" i="6"/>
  <c r="R36" i="6"/>
  <c r="J36" i="6"/>
  <c r="R33" i="6"/>
  <c r="J33" i="6"/>
  <c r="R32" i="6"/>
  <c r="J32" i="6"/>
  <c r="R31" i="6"/>
  <c r="J31" i="6"/>
  <c r="R27" i="6"/>
  <c r="J27" i="6"/>
  <c r="R26" i="6"/>
  <c r="J26" i="6"/>
  <c r="R24" i="6"/>
  <c r="J24" i="6"/>
  <c r="R23" i="6"/>
  <c r="J23" i="6"/>
  <c r="R22" i="6"/>
  <c r="J22" i="6"/>
  <c r="R18" i="6"/>
  <c r="J18" i="6"/>
  <c r="R17" i="6"/>
  <c r="J17" i="6"/>
  <c r="R16" i="6"/>
  <c r="J16" i="6"/>
  <c r="R13" i="6"/>
  <c r="J13" i="6"/>
  <c r="R12" i="6"/>
  <c r="J12" i="6"/>
  <c r="R11" i="6"/>
  <c r="J11" i="6"/>
  <c r="R7" i="6"/>
  <c r="J7" i="6"/>
  <c r="R6" i="6"/>
  <c r="J6" i="6"/>
  <c r="R4" i="6"/>
  <c r="J4" i="6"/>
  <c r="R3" i="6"/>
  <c r="J3" i="6"/>
  <c r="R2" i="6"/>
  <c r="J2" i="6"/>
  <c r="J24" i="5" a="1"/>
  <c r="J24" i="5" s="1"/>
  <c r="K23" i="5" a="1"/>
  <c r="K23" i="5" s="1"/>
  <c r="J23" i="5" a="1"/>
  <c r="J23" i="5" s="1"/>
  <c r="K22" i="5" a="1"/>
  <c r="K22" i="5" s="1"/>
  <c r="K21" i="5" a="1"/>
  <c r="K21" i="5" s="1"/>
  <c r="J22" i="5" a="1"/>
  <c r="J22" i="5" s="1"/>
  <c r="J21" i="5" a="1"/>
  <c r="J21" i="5" s="1"/>
  <c r="L51" i="5"/>
  <c r="L52" i="5"/>
  <c r="L53" i="5"/>
  <c r="V53" i="5"/>
  <c r="V52" i="5"/>
  <c r="V51" i="5"/>
  <c r="V23" i="5"/>
  <c r="L23" i="5"/>
  <c r="V22" i="5"/>
  <c r="L22" i="5"/>
  <c r="V21" i="5"/>
  <c r="L21" i="5"/>
  <c r="K19" i="5" a="1"/>
  <c r="K19" i="5" s="1"/>
  <c r="J19" i="5" a="1"/>
  <c r="J19" i="5" s="1"/>
  <c r="J9" i="5" a="1"/>
  <c r="J9" i="5" s="1"/>
  <c r="K9" i="5" a="1"/>
  <c r="K9" i="5" s="1"/>
  <c r="K8" i="5" a="1"/>
  <c r="K8" i="5" s="1"/>
  <c r="J8" i="5" a="1"/>
  <c r="J8" i="5" s="1"/>
  <c r="L10" i="5"/>
  <c r="L13" i="5"/>
  <c r="L40" i="5"/>
  <c r="L43" i="5"/>
  <c r="V34" i="5"/>
  <c r="V36" i="5"/>
  <c r="V37" i="5"/>
  <c r="V4" i="5"/>
  <c r="V6" i="5"/>
  <c r="V7" i="5"/>
  <c r="L34" i="5"/>
  <c r="L36" i="5"/>
  <c r="L37" i="5"/>
  <c r="L4" i="5"/>
  <c r="L6" i="5"/>
  <c r="L7" i="5"/>
  <c r="K4" i="5" a="1"/>
  <c r="K4" i="5" s="1"/>
  <c r="J4" i="5" a="1"/>
  <c r="J4" i="5" s="1"/>
  <c r="K7" i="5" a="1"/>
  <c r="K7" i="5" s="1"/>
  <c r="K6" i="5" a="1"/>
  <c r="K6" i="5" s="1"/>
  <c r="J16" i="5" a="1"/>
  <c r="J16" i="5" s="1"/>
  <c r="K16" i="5" a="1"/>
  <c r="K16" i="5" s="1"/>
  <c r="J7" i="5" a="1"/>
  <c r="J7" i="5" s="1"/>
  <c r="V48" i="5"/>
  <c r="V47" i="5"/>
  <c r="V46" i="5"/>
  <c r="V33" i="5"/>
  <c r="V32" i="5"/>
  <c r="V18" i="5"/>
  <c r="V17" i="5"/>
  <c r="V16" i="5"/>
  <c r="V3" i="5"/>
  <c r="V2" i="5"/>
  <c r="L3" i="5"/>
  <c r="L16" i="5"/>
  <c r="L17" i="5"/>
  <c r="L18" i="5"/>
  <c r="K17" i="5" a="1"/>
  <c r="K17" i="5" s="1"/>
  <c r="J17" i="5" a="1"/>
  <c r="J17" i="5" s="1"/>
  <c r="L48" i="5"/>
  <c r="L33" i="5"/>
  <c r="J18" i="5" a="1"/>
  <c r="J18" i="5" s="1"/>
  <c r="J6" i="5" a="1"/>
  <c r="J6" i="5" s="1"/>
  <c r="J3" i="5" a="1"/>
  <c r="J3" i="5" s="1"/>
  <c r="J2" i="5" a="1"/>
  <c r="J2" i="5" s="1"/>
  <c r="K18" i="5" a="1"/>
  <c r="K18" i="5" s="1"/>
  <c r="K3" i="5" a="1"/>
  <c r="K3" i="5" s="1"/>
  <c r="K2" i="5" a="1"/>
  <c r="K2" i="5" s="1"/>
  <c r="L47" i="5"/>
  <c r="L46" i="5"/>
  <c r="L32" i="5"/>
  <c r="L2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<sst xmlns="http://schemas.openxmlformats.org/spreadsheetml/2006/main" count="243" uniqueCount="36">
  <si>
    <t>Accuracy</t>
    <phoneticPr fontId="1" type="noConversion"/>
  </si>
  <si>
    <t>NRR</t>
    <phoneticPr fontId="1" type="noConversion"/>
  </si>
  <si>
    <t>Accuracy_Std</t>
    <phoneticPr fontId="1" type="noConversion"/>
  </si>
  <si>
    <t>F1 Score</t>
    <phoneticPr fontId="1" type="noConversion"/>
  </si>
  <si>
    <t>F1 Score_Std</t>
    <phoneticPr fontId="1" type="noConversion"/>
  </si>
  <si>
    <t>Original FN, PCC</t>
    <phoneticPr fontId="1" type="noConversion"/>
  </si>
  <si>
    <t>Original FN, PLV</t>
    <phoneticPr fontId="1" type="noConversion"/>
  </si>
  <si>
    <t>Additive Fusion</t>
    <phoneticPr fontId="1" type="noConversion"/>
  </si>
  <si>
    <t>Multipicative Fusion</t>
    <phoneticPr fontId="1" type="noConversion"/>
  </si>
  <si>
    <t>AUC</t>
    <phoneticPr fontId="1" type="noConversion"/>
  </si>
  <si>
    <t>Original FN, PLI</t>
    <phoneticPr fontId="1" type="noConversion"/>
  </si>
  <si>
    <t>optimal params (heaviside)</t>
    <phoneticPr fontId="1" type="noConversion"/>
  </si>
  <si>
    <t>PC-AEC</t>
    <phoneticPr fontId="1" type="noConversion"/>
  </si>
  <si>
    <t>PCC * σ(PLV)</t>
    <phoneticPr fontId="1" type="noConversion"/>
  </si>
  <si>
    <t>PCC * σ(PLI)</t>
    <phoneticPr fontId="1" type="noConversion"/>
  </si>
  <si>
    <t>PLV * σ(PLV)</t>
    <phoneticPr fontId="1" type="noConversion"/>
  </si>
  <si>
    <t>PLI * σ(PLI)</t>
    <phoneticPr fontId="1" type="noConversion"/>
  </si>
  <si>
    <t>PCC * σ(PCC)</t>
    <phoneticPr fontId="1" type="noConversion"/>
  </si>
  <si>
    <t>PLV * σ(PCC)</t>
    <phoneticPr fontId="1" type="noConversion"/>
  </si>
  <si>
    <t>PLI * σ(PCC)</t>
    <phoneticPr fontId="1" type="noConversion"/>
  </si>
  <si>
    <t>PCC &amp; PLV</t>
    <phoneticPr fontId="1" type="noConversion"/>
  </si>
  <si>
    <t>Splicing-1 (upper-lower triangular)</t>
    <phoneticPr fontId="1" type="noConversion"/>
  </si>
  <si>
    <t>Splicing-2 (diagonal blocking)</t>
    <phoneticPr fontId="1" type="noConversion"/>
  </si>
  <si>
    <t>PCC &amp; PLI</t>
    <phoneticPr fontId="1" type="noConversion"/>
  </si>
  <si>
    <t>PLV &amp; PLI</t>
    <phoneticPr fontId="1" type="noConversion"/>
  </si>
  <si>
    <t>PLV * σ(PLI)</t>
    <phoneticPr fontId="1" type="noConversion"/>
  </si>
  <si>
    <t>PLI * σ(PLV)</t>
    <phoneticPr fontId="1" type="noConversion"/>
  </si>
  <si>
    <t>PCC</t>
    <phoneticPr fontId="1" type="noConversion"/>
  </si>
  <si>
    <t>PLV</t>
    <phoneticPr fontId="1" type="noConversion"/>
  </si>
  <si>
    <t>PLI</t>
    <phoneticPr fontId="1" type="noConversion"/>
  </si>
  <si>
    <t>Basis</t>
    <phoneticPr fontId="1" type="noConversion"/>
  </si>
  <si>
    <t>Reliability threshold</t>
    <phoneticPr fontId="1" type="noConversion"/>
  </si>
  <si>
    <t>.</t>
    <phoneticPr fontId="1" type="noConversion"/>
  </si>
  <si>
    <t>0 (no threshold)</t>
    <phoneticPr fontId="1" type="noConversion"/>
  </si>
  <si>
    <t>Basis</t>
    <phoneticPr fontId="1" type="noConversion"/>
  </si>
  <si>
    <t>AUC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</si>
</sst>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6">
    <xf numFmtId="0" fontId="0" fillId="0" borderId="0" xfId="0"/>
    <xf numFmtId="0" fontId="2" fillId="3" borderId="0" xfId="0" applyFont="1" applyFill="1"/>
    <xf numFmtId="0" fontId="4" fillId="3" borderId="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 applyAlignment="1">
      <alignment vertical="top"/>
    </xf>
    <xf numFmtId="0" fontId="2" fillId="2" borderId="0" xfId="0" applyFont="1" applyFill="1"/>
    <xf numFmtId="0" fontId="4" fillId="2" borderId="1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0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3" borderId="0" xfId="0" applyFont="1" applyFill="1" applyAlignment="1">
      <alignment vertical="top"/>
    </xf>
    <xf numFmtId="0" fontId="3" fillId="3" borderId="0" xfId="0" applyFont="1" applyFill="1" applyAlignment="1">
      <alignment horizontal="center" vertical="top"/>
    </xf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0" fontId="2" fillId="2" borderId="12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3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12" xfId="0" applyFont="1" applyFill="1" applyBorder="1"/>
    <xf numFmtId="0" fontId="2" fillId="3" borderId="5" xfId="0" applyFont="1" applyFill="1" applyBorder="1"/>
    <xf numFmtId="0" fontId="2" fillId="3" borderId="6" xfId="0" applyFont="1" applyFill="1" applyBorder="1"/>
    <xf numFmtId="0" fontId="2" fillId="3" borderId="7" xfId="0" applyFont="1" applyFill="1" applyBorder="1"/>
    <xf numFmtId="0" fontId="2" fillId="2" borderId="8" xfId="0" applyFont="1" applyFill="1" applyBorder="1"/>
    <xf numFmtId="0" fontId="2" fillId="2" borderId="10" xfId="0" applyFont="1" applyFill="1" applyBorder="1"/>
    <xf numFmtId="0" fontId="2" fillId="2" borderId="9" xfId="0" applyFont="1" applyFill="1" applyBorder="1"/>
    <xf numFmtId="0" fontId="2" fillId="3" borderId="8" xfId="0" applyFont="1" applyFill="1" applyBorder="1"/>
    <xf numFmtId="0" fontId="2" fillId="3" borderId="10" xfId="0" applyFont="1" applyFill="1" applyBorder="1"/>
    <xf numFmtId="0" fontId="2" fillId="3" borderId="9" xfId="0" applyFont="1" applyFill="1" applyBorder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4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 wrapText="1"/>
    </xf>
    <xf numFmtId="0" fontId="4" fillId="3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2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" fillId="2" borderId="7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/>
    </xf>
    <xf numFmtId="0" fontId="2" fillId="2" borderId="12" xfId="0" applyFont="1" applyFill="1" applyBorder="1" applyAlignment="1">
      <alignment horizontal="center"/>
    </xf>
    <xf numFmtId="0" fontId="4" fillId="2" borderId="13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7D530-62F3-45D6-8CBF-3B0602E24BE5}">
  <dimension ref="A1:R45"/>
  <sheetViews>
    <sheetView tabSelected="1" zoomScaleNormal="100" workbookViewId="0"/>
  </sheetViews>
  <sheetFormatPr defaultRowHeight="14.25" x14ac:dyDescent="0.2"/>
  <cols>
    <col min="1" max="1" width="25" style="10" customWidth="1"/>
    <col min="2" max="2" width="15" style="10" customWidth="1"/>
    <col min="3" max="10" width="9" style="10"/>
    <col min="11" max="11" width="25" style="10" customWidth="1"/>
    <col min="12" max="12" width="15" style="10" customWidth="1"/>
    <col min="13" max="16384" width="9" style="10"/>
  </cols>
  <sheetData>
    <row r="1" spans="1:18" ht="15.75" thickBot="1" x14ac:dyDescent="0.25">
      <c r="A1" s="3" t="s">
        <v>0</v>
      </c>
      <c r="B1" s="13" t="s">
        <v>1</v>
      </c>
      <c r="C1" s="17">
        <v>1</v>
      </c>
      <c r="D1" s="17">
        <v>0.5</v>
      </c>
      <c r="E1" s="17">
        <v>0.25</v>
      </c>
      <c r="F1" s="17">
        <v>0.125</v>
      </c>
      <c r="G1" s="17">
        <v>6.25E-2</v>
      </c>
      <c r="H1" s="18" t="s">
        <v>9</v>
      </c>
      <c r="I1" s="18" t="s">
        <v>9</v>
      </c>
      <c r="J1" s="12"/>
      <c r="K1" s="3" t="s">
        <v>2</v>
      </c>
      <c r="L1" s="13" t="s">
        <v>1</v>
      </c>
      <c r="M1" s="17">
        <v>1</v>
      </c>
      <c r="N1" s="17">
        <v>0.5</v>
      </c>
      <c r="O1" s="17">
        <v>0.25</v>
      </c>
      <c r="P1" s="17">
        <v>0.125</v>
      </c>
      <c r="Q1" s="17">
        <v>6.25E-2</v>
      </c>
      <c r="R1" s="12"/>
    </row>
    <row r="2" spans="1:18" ht="15.75" thickBot="1" x14ac:dyDescent="0.25">
      <c r="A2" s="94" t="s">
        <v>5</v>
      </c>
      <c r="B2" s="95"/>
      <c r="C2" s="125">
        <v>92.97270449283009</v>
      </c>
      <c r="D2" s="126">
        <v>92.656851126163161</v>
      </c>
      <c r="E2" s="126">
        <v>90.612485113769722</v>
      </c>
      <c r="F2" s="126">
        <v>76.890048068466555</v>
      </c>
      <c r="G2" s="127">
        <v>57.431157132270449</v>
      </c>
      <c r="H2" s="23" cm="1">
        <f t="array" ref="H2">-SUMPRODUCT((D1:F1-C1:E1)*(C2:E2+D2:F2)/2)</f>
        <v>79.784964258629685</v>
      </c>
      <c r="I2" s="23" cm="1">
        <f t="array" ref="I2">-SUMPRODUCT((D1:G1-C1:F1)*(C2:F2+D2:G2)/2)</f>
        <v>83.982501921152718</v>
      </c>
      <c r="J2" s="12" t="str">
        <f>"    "&amp;_xlfn.TEXTJOIN(", ",TRUE,C2:G2)&amp;","</f>
        <v xml:space="preserve">    92.9727044928301, 92.6568511261632, 90.6124851137697, 76.8900480684666, 57.4311571322704,</v>
      </c>
      <c r="K2" s="94" t="s">
        <v>5</v>
      </c>
      <c r="L2" s="95"/>
      <c r="M2" s="125">
        <v>3.6723191410127392</v>
      </c>
      <c r="N2" s="126">
        <v>3.8557140126956959</v>
      </c>
      <c r="O2" s="126">
        <v>4.1717853309388913</v>
      </c>
      <c r="P2" s="126">
        <v>8.1206319222896362</v>
      </c>
      <c r="Q2" s="127">
        <v>8.7326493747450371</v>
      </c>
      <c r="R2" s="12" t="str">
        <f>"    "&amp;_xlfn.TEXTJOIN(", ",TRUE,M2:Q2)&amp;","</f>
        <v xml:space="preserve">    3.67231914101274, 3.8557140126957, 4.17178533093889, 8.12063192228964, 8.73264937474504,</v>
      </c>
    </row>
    <row r="3" spans="1:18" ht="15.75" thickBot="1" x14ac:dyDescent="0.25">
      <c r="A3" s="94" t="s">
        <v>6</v>
      </c>
      <c r="B3" s="95"/>
      <c r="C3" s="128">
        <v>93.550650668835075</v>
      </c>
      <c r="D3" s="124">
        <v>92.282219857726602</v>
      </c>
      <c r="E3" s="124">
        <v>90.501679656975099</v>
      </c>
      <c r="F3" s="124">
        <v>72.805808585426078</v>
      </c>
      <c r="G3" s="129">
        <v>54.064066298151367</v>
      </c>
      <c r="H3" s="23" cm="1">
        <f t="array" ref="H3">-SUMPRODUCT((D1:F1-C1:E1)*(C3:E3+D3:F3)/2)</f>
        <v>79.512923086128211</v>
      </c>
      <c r="I3" s="23" cm="1">
        <f t="array" ref="I3">-SUMPRODUCT((D1:G1-C1:F1)*(C3:F3+D3:G3)/2)</f>
        <v>83.477606676240001</v>
      </c>
      <c r="J3" s="12" t="str">
        <f>"    "&amp;_xlfn.TEXTJOIN(", ",TRUE,C3:G3)&amp;","</f>
        <v xml:space="preserve">    93.5506506688351, 92.2822198577266, 90.5016796569751, 72.8058085854261, 54.0640662981514,</v>
      </c>
      <c r="K3" s="94" t="s">
        <v>6</v>
      </c>
      <c r="L3" s="95"/>
      <c r="M3" s="128">
        <v>3.5444962758226279</v>
      </c>
      <c r="N3" s="124">
        <v>3.640571601682856</v>
      </c>
      <c r="O3" s="124">
        <v>3.5241233819887818</v>
      </c>
      <c r="P3" s="124">
        <v>9.1245390051568016</v>
      </c>
      <c r="Q3" s="129">
        <v>7.5991148630492704</v>
      </c>
      <c r="R3" s="12" t="str">
        <f>"    "&amp;_xlfn.TEXTJOIN(", ",TRUE,M3:Q3)&amp;","</f>
        <v xml:space="preserve">    3.54449627582263, 3.64057160168286, 3.52412338198878, 9.1245390051568, 7.59911486304927,</v>
      </c>
    </row>
    <row r="4" spans="1:18" ht="15.75" thickBot="1" x14ac:dyDescent="0.25">
      <c r="A4" s="98" t="s">
        <v>10</v>
      </c>
      <c r="B4" s="99"/>
      <c r="C4" s="128">
        <v>88.646029233240199</v>
      </c>
      <c r="D4" s="124">
        <v>87.588003933136662</v>
      </c>
      <c r="E4" s="124">
        <v>87.102273087714138</v>
      </c>
      <c r="F4" s="124">
        <v>74.826714187262283</v>
      </c>
      <c r="G4" s="129">
        <v>50.055245575942109</v>
      </c>
      <c r="H4" s="34" cm="1">
        <f t="array" ref="H4">-SUMPRODUCT((D1:F1-C1:E1)*(C4:E4+D4:F4)/2)</f>
        <v>76.015354623886594</v>
      </c>
      <c r="I4" s="34" cm="1">
        <f t="array" ref="I4">-SUMPRODUCT((D1:G1-C1:F1)*(C4:F4+D4:G4)/2)</f>
        <v>79.917915866486737</v>
      </c>
      <c r="J4" s="12" t="str">
        <f>"    "&amp;_xlfn.TEXTJOIN(", ",TRUE,C4:G4)&amp;","</f>
        <v xml:space="preserve">    88.6460292332402, 87.5880039331367, 87.1022730877141, 74.8267141872623, 50.0552455759421,</v>
      </c>
      <c r="K4" s="98" t="s">
        <v>10</v>
      </c>
      <c r="L4" s="99"/>
      <c r="M4" s="128">
        <v>3.1531095164540388</v>
      </c>
      <c r="N4" s="124">
        <v>2.2977524920825498</v>
      </c>
      <c r="O4" s="124">
        <v>1.6498123709550609</v>
      </c>
      <c r="P4" s="124">
        <v>2.8561346399896621</v>
      </c>
      <c r="Q4" s="129">
        <v>1.6635727988470741</v>
      </c>
      <c r="R4" s="12" t="str">
        <f>"    "&amp;_xlfn.TEXTJOIN(", ",TRUE,M4:Q4)&amp;","</f>
        <v xml:space="preserve">    3.15310951645404, 2.29775249208255, 1.64981237095506, 2.85613463998966, 1.66357279884707,</v>
      </c>
    </row>
    <row r="5" spans="1:18" ht="15.75" thickBot="1" x14ac:dyDescent="0.25">
      <c r="A5" s="94" t="s">
        <v>12</v>
      </c>
      <c r="B5" s="96"/>
      <c r="C5" s="96"/>
      <c r="D5" s="96"/>
      <c r="E5" s="96"/>
      <c r="F5" s="96"/>
      <c r="G5" s="95"/>
      <c r="H5" s="34"/>
      <c r="I5" s="34"/>
      <c r="J5" s="12"/>
      <c r="K5" s="94" t="s">
        <v>12</v>
      </c>
      <c r="L5" s="96"/>
      <c r="M5" s="96"/>
      <c r="N5" s="96"/>
      <c r="O5" s="96"/>
      <c r="P5" s="96"/>
      <c r="Q5" s="95"/>
      <c r="R5" s="12"/>
    </row>
    <row r="6" spans="1:18" ht="15.75" customHeight="1" thickBot="1" x14ac:dyDescent="0.25">
      <c r="A6" s="92" t="s">
        <v>11</v>
      </c>
      <c r="B6" s="144" t="s">
        <v>13</v>
      </c>
      <c r="C6" s="128">
        <v>93.358985227669237</v>
      </c>
      <c r="D6" s="124">
        <v>92.785690187631374</v>
      </c>
      <c r="E6" s="124">
        <v>91.279001836809442</v>
      </c>
      <c r="F6" s="124">
        <v>77.243569004345488</v>
      </c>
      <c r="G6" s="129">
        <v>56.641689518652129</v>
      </c>
      <c r="H6" s="34" cm="1">
        <f t="array" ref="H6">-SUMPRODUCT((D1:F1-C1:E1)*(C6:E6+D6:F6)/2)</f>
        <v>80.076916034452438</v>
      </c>
      <c r="I6" s="34" cm="1">
        <f t="array" ref="I6">-SUMPRODUCT((D1:G1-C1:F1)*(C6:F6+D6:G6)/2)</f>
        <v>84.260830363296108</v>
      </c>
      <c r="J6" s="12" t="str">
        <f>"    "&amp;_xlfn.TEXTJOIN(", ",TRUE,C6:G6)&amp;","</f>
        <v xml:space="preserve">    93.3589852276692, 92.7856901876314, 91.2790018368094, 77.2435690043455, 56.6416895186521,</v>
      </c>
      <c r="K6" s="92" t="s">
        <v>11</v>
      </c>
      <c r="L6" s="144" t="s">
        <v>13</v>
      </c>
      <c r="M6" s="128">
        <v>3.5292136776947389</v>
      </c>
      <c r="N6" s="124">
        <v>3.7787197360632829</v>
      </c>
      <c r="O6" s="124">
        <v>3.589155414302748</v>
      </c>
      <c r="P6" s="124">
        <v>7.7490040503559836</v>
      </c>
      <c r="Q6" s="129">
        <v>8.6647795337348459</v>
      </c>
      <c r="R6" s="12" t="str">
        <f>"    "&amp;_xlfn.TEXTJOIN(", ",TRUE,M6:Q6)&amp;","</f>
        <v xml:space="preserve">    3.52921367769474, 3.77871973606328, 3.58915541430275, 7.74900405035598, 8.66477953373485,</v>
      </c>
    </row>
    <row r="7" spans="1:18" ht="15.75" customHeight="1" thickBot="1" x14ac:dyDescent="0.25">
      <c r="A7" s="7" t="s">
        <v>11</v>
      </c>
      <c r="B7" s="8" t="s">
        <v>14</v>
      </c>
      <c r="C7" s="128">
        <v>92.744346116027529</v>
      </c>
      <c r="D7" s="124">
        <v>92.328416912487711</v>
      </c>
      <c r="E7" s="124">
        <v>91.156108616856514</v>
      </c>
      <c r="F7" s="124">
        <v>82.307782362592519</v>
      </c>
      <c r="G7" s="129">
        <v>57.694504277718679</v>
      </c>
      <c r="H7" s="34" cm="1">
        <f t="array" ref="H7">-SUMPRODUCT((D1:F1-C1:E1)*(C7:E7+D7:F7)/2)</f>
        <v>80.045249634512402</v>
      </c>
      <c r="I7" s="34" cm="1">
        <f t="array" ref="I7">-SUMPRODUCT((D1:G1-C1:F1)*(C7:F7+D7:G7)/2)</f>
        <v>84.420321092022121</v>
      </c>
      <c r="J7" s="12" t="str">
        <f>"    "&amp;_xlfn.TEXTJOIN(", ",TRUE,C7:G7)&amp;","</f>
        <v xml:space="preserve">    92.7443461160275, 92.3284169124877, 91.1561086168565, 82.3077823625925, 57.6945042777187,</v>
      </c>
      <c r="K7" s="7" t="s">
        <v>11</v>
      </c>
      <c r="L7" s="8" t="s">
        <v>14</v>
      </c>
      <c r="M7" s="128">
        <v>3.3427481085122568</v>
      </c>
      <c r="N7" s="124">
        <v>3.376440347285802</v>
      </c>
      <c r="O7" s="124">
        <v>3.0132050938587081</v>
      </c>
      <c r="P7" s="124">
        <v>4.6775599948055158</v>
      </c>
      <c r="Q7" s="129">
        <v>6.3264357320363649</v>
      </c>
      <c r="R7" s="12" t="str">
        <f>"    "&amp;_xlfn.TEXTJOIN(", ",TRUE,M7:Q7)&amp;","</f>
        <v xml:space="preserve">    3.34274810851226, 3.3764403472858, 3.01320509385871, 4.67755999480552, 6.32643573203636,</v>
      </c>
    </row>
    <row r="8" spans="1:18" ht="15.75" customHeight="1" thickBot="1" x14ac:dyDescent="0.25">
      <c r="A8" s="7" t="s">
        <v>11</v>
      </c>
      <c r="B8" s="8" t="s">
        <v>18</v>
      </c>
      <c r="C8" s="128">
        <v>93.578171091445412</v>
      </c>
      <c r="D8" s="124">
        <v>92.721736347200235</v>
      </c>
      <c r="E8" s="124">
        <v>90.919630215947663</v>
      </c>
      <c r="F8" s="124">
        <v>73.42964039481312</v>
      </c>
      <c r="G8" s="129">
        <v>56.559615567608724</v>
      </c>
      <c r="H8" s="34" cm="1">
        <f t="array" ref="H8">-SUMPRODUCT((D1:F1-C1:E1)*(C8:E8+D8:F8)/2)</f>
        <v>79.80197709322745</v>
      </c>
      <c r="I8" s="34" cm="1">
        <f t="array" ref="I8">-SUMPRODUCT((D1:G1-C1:F1)*(C8:F8+D8:G8)/2)</f>
        <v>83.864141342053131</v>
      </c>
      <c r="J8" s="12"/>
      <c r="K8" s="7" t="s">
        <v>11</v>
      </c>
      <c r="L8" s="8" t="s">
        <v>18</v>
      </c>
      <c r="M8" s="128">
        <v>3.4211604643278899</v>
      </c>
      <c r="N8" s="124">
        <v>3.758697386182225</v>
      </c>
      <c r="O8" s="124">
        <v>3.9384751732193859</v>
      </c>
      <c r="P8" s="124">
        <v>8.9824743171696255</v>
      </c>
      <c r="Q8" s="129">
        <v>8.2082515511175735</v>
      </c>
      <c r="R8" s="12" t="str">
        <f t="shared" ref="R8:R9" si="0">"    "&amp;_xlfn.TEXTJOIN(", ",TRUE,M8:Q8)&amp;","</f>
        <v xml:space="preserve">    3.42116046432789, 3.75869738618223, 3.93847517321939, 8.98247431716963, 8.20825155111757,</v>
      </c>
    </row>
    <row r="9" spans="1:18" ht="15.75" customHeight="1" thickBot="1" x14ac:dyDescent="0.25">
      <c r="A9" s="7" t="s">
        <v>11</v>
      </c>
      <c r="B9" s="140" t="s">
        <v>19</v>
      </c>
      <c r="C9" s="128">
        <v>90.553588987217324</v>
      </c>
      <c r="D9" s="124">
        <v>90.325467059980355</v>
      </c>
      <c r="E9" s="124">
        <v>89.668636118536241</v>
      </c>
      <c r="F9" s="124">
        <v>78.678561233228677</v>
      </c>
      <c r="G9" s="129">
        <v>53.098925307889047</v>
      </c>
      <c r="H9" s="34" cm="1">
        <f t="array" ref="H9">-SUMPRODUCT((D1:F1-C1:E1)*(C9:E9+D9:F9)/2)</f>
        <v>78.240726743599296</v>
      </c>
      <c r="I9" s="34" cm="1">
        <f t="array" ref="I9">-SUMPRODUCT((D1:G1-C1:F1)*(C9:F9+D9:G9)/2)</f>
        <v>82.358773198009231</v>
      </c>
      <c r="J9" s="12"/>
      <c r="K9" s="7" t="s">
        <v>11</v>
      </c>
      <c r="L9" s="140" t="s">
        <v>19</v>
      </c>
      <c r="M9" s="128">
        <v>2.5990157411770438</v>
      </c>
      <c r="N9" s="124">
        <v>2.3843919339500612</v>
      </c>
      <c r="O9" s="124">
        <v>2.4318730481068318</v>
      </c>
      <c r="P9" s="124">
        <v>3.814135483602267</v>
      </c>
      <c r="Q9" s="129">
        <v>3.5742222382122981</v>
      </c>
      <c r="R9" s="12" t="str">
        <f t="shared" si="0"/>
        <v xml:space="preserve">    2.59901574117704, 2.38439193395006, 2.43187304810683, 3.81413548360227, 3.5742222382123,</v>
      </c>
    </row>
    <row r="10" spans="1:18" ht="15.75" thickBot="1" x14ac:dyDescent="0.25">
      <c r="A10" s="94" t="s">
        <v>20</v>
      </c>
      <c r="B10" s="96"/>
      <c r="C10" s="96"/>
      <c r="D10" s="96"/>
      <c r="E10" s="96"/>
      <c r="F10" s="96"/>
      <c r="G10" s="95"/>
      <c r="H10" s="34"/>
      <c r="I10" s="34"/>
      <c r="J10" s="12"/>
      <c r="K10" s="94" t="s">
        <v>20</v>
      </c>
      <c r="L10" s="96"/>
      <c r="M10" s="96"/>
      <c r="N10" s="96"/>
      <c r="O10" s="96"/>
      <c r="P10" s="96"/>
      <c r="Q10" s="95"/>
      <c r="R10" s="12"/>
    </row>
    <row r="11" spans="1:18" ht="15.75" customHeight="1" thickBot="1" x14ac:dyDescent="0.25">
      <c r="A11" s="111" t="s">
        <v>7</v>
      </c>
      <c r="B11" s="143"/>
      <c r="C11" s="128">
        <v>93.207752662220258</v>
      </c>
      <c r="D11" s="124">
        <v>92.783034455315345</v>
      </c>
      <c r="E11" s="124">
        <v>90.565884364628303</v>
      </c>
      <c r="F11" s="124">
        <v>73.076886478256739</v>
      </c>
      <c r="G11" s="129">
        <v>58.556994437668138</v>
      </c>
      <c r="H11" s="34" cm="1">
        <f t="array" ref="H11">-SUMPRODUCT((D1:F1-C1:E1)*(C11:E11+D11:F11)/2)</f>
        <v>79.643984809557168</v>
      </c>
      <c r="I11" s="34" cm="1">
        <f t="array" ref="I11">-SUMPRODUCT((D1:G1-C1:F1)*(C11:F11+D11:G11)/2)</f>
        <v>83.757543588179814</v>
      </c>
      <c r="J11" s="12" t="str">
        <f>"    "&amp;_xlfn.TEXTJOIN(", ",TRUE,C11:G11)&amp;","</f>
        <v xml:space="preserve">    93.2077526622203, 92.7830344553153, 90.5658843646283, 73.0768864782567, 58.5569944376681,</v>
      </c>
      <c r="K11" s="111" t="s">
        <v>7</v>
      </c>
      <c r="L11" s="143"/>
      <c r="M11" s="128">
        <v>4.081079160307894</v>
      </c>
      <c r="N11" s="124">
        <v>3.9215668791224498</v>
      </c>
      <c r="O11" s="124">
        <v>3.873470124738835</v>
      </c>
      <c r="P11" s="124">
        <v>9.0889689998586825</v>
      </c>
      <c r="Q11" s="129">
        <v>9.0192886420696112</v>
      </c>
      <c r="R11" s="12" t="str">
        <f>"    "&amp;_xlfn.TEXTJOIN(", ",TRUE,M11:Q11)&amp;","</f>
        <v xml:space="preserve">    4.08107916030789, 3.92156687912245, 3.87347012473884, 9.08896899985868, 9.01928864206961,</v>
      </c>
    </row>
    <row r="12" spans="1:18" ht="15.75" customHeight="1" thickBot="1" x14ac:dyDescent="0.25">
      <c r="A12" s="98" t="s">
        <v>8</v>
      </c>
      <c r="B12" s="99"/>
      <c r="C12" s="128">
        <v>93.534975792754821</v>
      </c>
      <c r="D12" s="124">
        <v>92.336467731843129</v>
      </c>
      <c r="E12" s="124">
        <v>88.593520128490155</v>
      </c>
      <c r="F12" s="124">
        <v>71.045294509468079</v>
      </c>
      <c r="G12" s="129">
        <v>53.467062863865607</v>
      </c>
      <c r="H12" s="34" cm="1">
        <f t="array" ref="H12">-SUMPRODUCT((D1:F1-C1:E1)*(C12:E12+D12:F12)/2)</f>
        <v>79.061535278563539</v>
      </c>
      <c r="I12" s="34" cm="1">
        <f t="array" ref="I12">-SUMPRODUCT((D1:G1-C1:F1)*(C12:F12+D12:G12)/2)</f>
        <v>82.952546446480213</v>
      </c>
      <c r="J12" s="12" t="str">
        <f>"    "&amp;_xlfn.TEXTJOIN(", ",TRUE,C12:G12)&amp;","</f>
        <v xml:space="preserve">    93.5349757927548, 92.3364677318431, 88.5935201284902, 71.0452945094681, 53.4670628638656,</v>
      </c>
      <c r="K12" s="94" t="s">
        <v>8</v>
      </c>
      <c r="L12" s="95"/>
      <c r="M12" s="128">
        <v>3.8494978151380188</v>
      </c>
      <c r="N12" s="124">
        <v>3.7468317792042942</v>
      </c>
      <c r="O12" s="124">
        <v>4.6420078579248552</v>
      </c>
      <c r="P12" s="124">
        <v>10.247976510425289</v>
      </c>
      <c r="Q12" s="129">
        <v>9.5145399413620808</v>
      </c>
      <c r="R12" s="12" t="str">
        <f>"    "&amp;_xlfn.TEXTJOIN(", ",TRUE,M12:Q12)&amp;","</f>
        <v xml:space="preserve">    3.84949781513802, 3.74683177920429, 4.64200785792486, 10.2479765104253, 9.51453994136208,</v>
      </c>
    </row>
    <row r="13" spans="1:18" ht="15.75" customHeight="1" thickBot="1" x14ac:dyDescent="0.25">
      <c r="A13" s="94" t="s">
        <v>21</v>
      </c>
      <c r="B13" s="95"/>
      <c r="C13" s="128">
        <v>93.005297046975599</v>
      </c>
      <c r="D13" s="124">
        <v>91.902444369472647</v>
      </c>
      <c r="E13" s="124">
        <v>89.116278399178753</v>
      </c>
      <c r="F13" s="124">
        <v>72.258814234263852</v>
      </c>
      <c r="G13" s="129">
        <v>53.843628981796257</v>
      </c>
      <c r="H13" s="34" cm="1">
        <f t="array" ref="H13">-SUMPRODUCT((D1:F1-C1:E1)*(C13:E13+D13:F13)/2)</f>
        <v>78.940218989783645</v>
      </c>
      <c r="I13" s="34" cm="1">
        <f t="array" ref="I13">-SUMPRODUCT((D1:G1-C1:F1)*(C13:F13+D13:G13)/2)</f>
        <v>82.880920340285527</v>
      </c>
      <c r="J13" s="12" t="str">
        <f>"    "&amp;_xlfn.TEXTJOIN(", ",TRUE,C13:G13)&amp;","</f>
        <v xml:space="preserve">    93.0052970469756, 91.9024443694726, 89.1162783991788, 72.2588142342639, 53.8436289817963,</v>
      </c>
      <c r="K13" s="94" t="s">
        <v>21</v>
      </c>
      <c r="L13" s="95"/>
      <c r="M13" s="128">
        <v>3.458803648865628</v>
      </c>
      <c r="N13" s="124">
        <v>4.1139178681351494</v>
      </c>
      <c r="O13" s="124">
        <v>4.3674865362294497</v>
      </c>
      <c r="P13" s="124">
        <v>10.1810612930344</v>
      </c>
      <c r="Q13" s="129">
        <v>8.6745540222164905</v>
      </c>
      <c r="R13" s="12" t="str">
        <f>"    "&amp;_xlfn.TEXTJOIN(", ",TRUE,M13:Q13)&amp;","</f>
        <v xml:space="preserve">    3.45880364886563, 4.11391786813515, 4.36748653622945, 10.1810612930344, 8.67455402221649,</v>
      </c>
    </row>
    <row r="14" spans="1:18" ht="15.75" customHeight="1" thickBot="1" x14ac:dyDescent="0.25">
      <c r="A14" s="98" t="s">
        <v>22</v>
      </c>
      <c r="B14" s="99"/>
      <c r="C14" s="137"/>
      <c r="D14" s="138"/>
      <c r="E14" s="138"/>
      <c r="F14" s="138"/>
      <c r="G14" s="139"/>
      <c r="H14" s="34" cm="1">
        <f t="array" ref="H14">-SUMPRODUCT((D1:F1-C1:E1)*(C14:E14+D14:F14)/2)</f>
        <v>0</v>
      </c>
      <c r="I14" s="34" cm="1">
        <f t="array" ref="I14">-SUMPRODUCT((D1:G1-C1:F1)*(C14:F14+D14:G14)/2)</f>
        <v>0</v>
      </c>
      <c r="J14" s="12" t="str">
        <f>"    "&amp;_xlfn.TEXTJOIN(", ",TRUE,C14:G14)&amp;","</f>
        <v xml:space="preserve">    ,</v>
      </c>
      <c r="K14" s="98" t="s">
        <v>22</v>
      </c>
      <c r="L14" s="99"/>
      <c r="M14" s="137"/>
      <c r="N14" s="138"/>
      <c r="O14" s="138"/>
      <c r="P14" s="138"/>
      <c r="Q14" s="139"/>
      <c r="R14" s="12" t="str">
        <f>"    "&amp;_xlfn.TEXTJOIN(", ",TRUE,M14:Q14)&amp;","</f>
        <v xml:space="preserve">    ,</v>
      </c>
    </row>
    <row r="15" spans="1:18" ht="15.75" customHeight="1" thickBot="1" x14ac:dyDescent="0.25">
      <c r="A15" s="94" t="s">
        <v>23</v>
      </c>
      <c r="B15" s="96"/>
      <c r="C15" s="96"/>
      <c r="D15" s="96"/>
      <c r="E15" s="96"/>
      <c r="F15" s="96"/>
      <c r="G15" s="95"/>
      <c r="H15" s="34"/>
      <c r="I15" s="34"/>
      <c r="J15" s="12"/>
      <c r="K15" s="94" t="s">
        <v>23</v>
      </c>
      <c r="L15" s="96"/>
      <c r="M15" s="96"/>
      <c r="N15" s="96"/>
      <c r="O15" s="96"/>
      <c r="P15" s="96"/>
      <c r="Q15" s="95"/>
      <c r="R15" s="12"/>
    </row>
    <row r="16" spans="1:18" ht="15.75" customHeight="1" thickBot="1" x14ac:dyDescent="0.25">
      <c r="A16" s="111" t="s">
        <v>7</v>
      </c>
      <c r="B16" s="143"/>
      <c r="C16" s="128">
        <v>93.204569243678591</v>
      </c>
      <c r="D16" s="124">
        <v>92.71893643831983</v>
      </c>
      <c r="E16" s="124">
        <v>91.010196166633492</v>
      </c>
      <c r="F16" s="124">
        <v>77.775612245780678</v>
      </c>
      <c r="G16" s="129">
        <v>55.921856302101808</v>
      </c>
      <c r="H16" s="34" cm="1">
        <f t="array" ref="H16">-SUMPRODUCT((D1:F1-C1:E1)*(C16:E16+D16:F16)/2)</f>
        <v>79.996131021894655</v>
      </c>
      <c r="I16" s="34" cm="1">
        <f t="array" ref="I16">-SUMPRODUCT((D1:G1-C1:F1)*(C16:F16+D16:G16)/2)</f>
        <v>84.174176914015987</v>
      </c>
      <c r="J16" s="12" t="str">
        <f>"    "&amp;_xlfn.TEXTJOIN(", ",TRUE,C16:G16)&amp;","</f>
        <v xml:space="preserve">    93.2045692436786, 92.7189364383198, 91.0101961666335, 77.7756122457807, 55.9218563021018,</v>
      </c>
      <c r="K16" s="111" t="s">
        <v>7</v>
      </c>
      <c r="L16" s="143"/>
      <c r="M16" s="128">
        <v>3.5338969773137729</v>
      </c>
      <c r="N16" s="124">
        <v>3.7216965755259852</v>
      </c>
      <c r="O16" s="124">
        <v>3.7478593835578962</v>
      </c>
      <c r="P16" s="124">
        <v>6.7863547394302319</v>
      </c>
      <c r="Q16" s="129">
        <v>8.2097242202983072</v>
      </c>
      <c r="R16" s="12" t="str">
        <f>"    "&amp;_xlfn.TEXTJOIN(", ",TRUE,M16:Q16)&amp;","</f>
        <v xml:space="preserve">    3.53389697731377, 3.72169657552599, 3.7478593835579, 6.78635473943023, 8.20972422029831,</v>
      </c>
    </row>
    <row r="17" spans="1:18" ht="15.75" customHeight="1" thickBot="1" x14ac:dyDescent="0.25">
      <c r="A17" s="98" t="s">
        <v>8</v>
      </c>
      <c r="B17" s="99"/>
      <c r="C17" s="128">
        <v>91.935155148400952</v>
      </c>
      <c r="D17" s="124">
        <v>91.692255123314226</v>
      </c>
      <c r="E17" s="124">
        <v>89.847648624411406</v>
      </c>
      <c r="F17" s="124">
        <v>79.400747411309794</v>
      </c>
      <c r="G17" s="129">
        <v>53.25364406266489</v>
      </c>
      <c r="H17" s="34" cm="1">
        <f t="array" ref="H17">-SUMPRODUCT((D1:F1-C1:E1)*(C17:E17+D17:F17)/2)</f>
        <v>79.177365288627072</v>
      </c>
      <c r="I17" s="34" cm="1">
        <f t="array" ref="I17">-SUMPRODUCT((D1:G1-C1:F1)*(C17:F17+D17:G17)/2)</f>
        <v>83.322815022188777</v>
      </c>
      <c r="J17" s="12" t="str">
        <f>"    "&amp;_xlfn.TEXTJOIN(", ",TRUE,C17:G17)&amp;","</f>
        <v xml:space="preserve">    91.935155148401, 91.6922551233142, 89.8476486244114, 79.4007474113098, 53.2536440626649,</v>
      </c>
      <c r="K17" s="94" t="s">
        <v>8</v>
      </c>
      <c r="L17" s="95"/>
      <c r="M17" s="128">
        <v>3.0404967647063641</v>
      </c>
      <c r="N17" s="124">
        <v>3.2195663824364602</v>
      </c>
      <c r="O17" s="124">
        <v>5.1059080333021827</v>
      </c>
      <c r="P17" s="124">
        <v>3.323723681934811</v>
      </c>
      <c r="Q17" s="129">
        <v>4.2607284397566696</v>
      </c>
      <c r="R17" s="12" t="str">
        <f>"    "&amp;_xlfn.TEXTJOIN(", ",TRUE,M17:Q17)&amp;","</f>
        <v xml:space="preserve">    3.04049676470636, 3.21956638243646, 5.10590803330218, 3.32372368193481, 4.26072843975667,</v>
      </c>
    </row>
    <row r="18" spans="1:18" ht="15.75" customHeight="1" thickBot="1" x14ac:dyDescent="0.25">
      <c r="A18" s="94" t="s">
        <v>21</v>
      </c>
      <c r="B18" s="95"/>
      <c r="C18" s="128">
        <v>93.32960781090955</v>
      </c>
      <c r="D18" s="124">
        <v>92.627433339965464</v>
      </c>
      <c r="E18" s="124">
        <v>90.919543710009009</v>
      </c>
      <c r="F18" s="124">
        <v>77.743400317765136</v>
      </c>
      <c r="G18" s="129">
        <v>58.391070280308071</v>
      </c>
      <c r="H18" s="34" cm="1">
        <f t="array" ref="H18">-SUMPRODUCT((D1:F1-C1:E1)*(C18:E18+D18:F18)/2)</f>
        <v>79.974066420701448</v>
      </c>
      <c r="I18" s="34" cm="1">
        <f t="array" ref="I18">-SUMPRODUCT((D1:G1-C1:F1)*(C18:F18+D18:G18)/2)</f>
        <v>84.228268626891236</v>
      </c>
      <c r="J18" s="12" t="str">
        <f>"    "&amp;_xlfn.TEXTJOIN(", ",TRUE,C18:G18)&amp;","</f>
        <v xml:space="preserve">    93.3296078109096, 92.6274333399655, 90.919543710009, 77.7434003177651, 58.3910702803081,</v>
      </c>
      <c r="K18" s="94" t="s">
        <v>21</v>
      </c>
      <c r="L18" s="95"/>
      <c r="M18" s="128">
        <v>3.3471189071482028</v>
      </c>
      <c r="N18" s="124">
        <v>3.632082464261972</v>
      </c>
      <c r="O18" s="124">
        <v>3.8019445786359811</v>
      </c>
      <c r="P18" s="124">
        <v>7.5417080235248886</v>
      </c>
      <c r="Q18" s="129">
        <v>8.4137702230121008</v>
      </c>
      <c r="R18" s="12" t="str">
        <f>"    "&amp;_xlfn.TEXTJOIN(", ",TRUE,M18:Q18)&amp;","</f>
        <v xml:space="preserve">    3.3471189071482, 3.63208246426197, 3.80194457863598, 7.54170802352489, 8.4137702230121,</v>
      </c>
    </row>
    <row r="19" spans="1:18" ht="15.75" customHeight="1" thickBot="1" x14ac:dyDescent="0.25">
      <c r="A19" s="94" t="s">
        <v>22</v>
      </c>
      <c r="B19" s="95"/>
      <c r="C19" s="35"/>
      <c r="D19" s="36"/>
      <c r="E19" s="36"/>
      <c r="F19" s="36"/>
      <c r="G19" s="133"/>
      <c r="H19" s="34" cm="1">
        <f t="array" ref="H19">-SUMPRODUCT((D1:F1-C1:E1)*(C19:E19+D19:F19)/2)</f>
        <v>0</v>
      </c>
      <c r="I19" s="34" cm="1">
        <f t="array" ref="I19">-SUMPRODUCT((D1:G1-C1:F1)*(C19:F19+D19:G19)/2)</f>
        <v>0</v>
      </c>
      <c r="J19" s="12" t="str">
        <f>"    "&amp;_xlfn.TEXTJOIN(", ",TRUE,C19:G19)&amp;","</f>
        <v xml:space="preserve">    ,</v>
      </c>
      <c r="K19" s="94" t="s">
        <v>22</v>
      </c>
      <c r="L19" s="95"/>
      <c r="M19" s="35"/>
      <c r="N19" s="36"/>
      <c r="O19" s="36"/>
      <c r="P19" s="36"/>
      <c r="Q19" s="133"/>
      <c r="R19" s="12" t="str">
        <f>"    "&amp;_xlfn.TEXTJOIN(", ",TRUE,M19:Q19)&amp;","</f>
        <v xml:space="preserve">    ,</v>
      </c>
    </row>
    <row r="20" spans="1:18" ht="15" thickBot="1" x14ac:dyDescent="0.25">
      <c r="A20" s="25"/>
      <c r="B20" s="25"/>
      <c r="C20" s="25"/>
      <c r="D20" s="25"/>
      <c r="E20" s="25"/>
      <c r="F20" s="25"/>
      <c r="G20" s="25"/>
      <c r="H20" s="25"/>
      <c r="I20" s="25"/>
      <c r="K20" s="25"/>
      <c r="L20" s="25"/>
      <c r="M20" s="25"/>
      <c r="N20" s="25"/>
      <c r="O20" s="25"/>
      <c r="P20" s="25"/>
      <c r="Q20" s="25"/>
    </row>
    <row r="21" spans="1:18" ht="15.75" thickBot="1" x14ac:dyDescent="0.25">
      <c r="A21" s="4" t="s">
        <v>3</v>
      </c>
      <c r="B21" s="5" t="s">
        <v>1</v>
      </c>
      <c r="C21" s="14">
        <v>1</v>
      </c>
      <c r="D21" s="16">
        <v>0.5</v>
      </c>
      <c r="E21" s="16">
        <v>0.25</v>
      </c>
      <c r="F21" s="16">
        <v>0.125</v>
      </c>
      <c r="G21" s="2">
        <v>6.25E-2</v>
      </c>
      <c r="H21" s="19"/>
      <c r="I21" s="19"/>
      <c r="J21" s="1"/>
      <c r="K21" s="4" t="s">
        <v>4</v>
      </c>
      <c r="L21" s="5" t="s">
        <v>1</v>
      </c>
      <c r="M21" s="14">
        <v>1</v>
      </c>
      <c r="N21" s="16">
        <v>0.5</v>
      </c>
      <c r="O21" s="16">
        <v>0.25</v>
      </c>
      <c r="P21" s="16">
        <v>0.125</v>
      </c>
      <c r="Q21" s="2">
        <v>6.25E-2</v>
      </c>
      <c r="R21" s="1"/>
    </row>
    <row r="22" spans="1:18" ht="15.75" thickBot="1" x14ac:dyDescent="0.25">
      <c r="A22" s="101" t="s">
        <v>5</v>
      </c>
      <c r="B22" s="103"/>
      <c r="C22" s="125">
        <v>92.485449200300948</v>
      </c>
      <c r="D22" s="126">
        <v>92.185357970009463</v>
      </c>
      <c r="E22" s="126">
        <v>90.049361274020285</v>
      </c>
      <c r="F22" s="126">
        <v>76.424179894802663</v>
      </c>
      <c r="G22" s="127">
        <v>55.817166373785298</v>
      </c>
      <c r="H22" s="40"/>
      <c r="I22" s="40"/>
      <c r="J22" s="1" t="str">
        <f>"    "&amp;_xlfn.TEXTJOIN(", ",TRUE,C22:G22)&amp;","</f>
        <v xml:space="preserve">    92.4854492003009, 92.1853579700095, 90.0493612740203, 76.4241798948027, 55.8171663737853,</v>
      </c>
      <c r="K22" s="101" t="s">
        <v>5</v>
      </c>
      <c r="L22" s="103"/>
      <c r="M22" s="125">
        <v>4.0542209595909764</v>
      </c>
      <c r="N22" s="126">
        <v>4.1862833242412467</v>
      </c>
      <c r="O22" s="126">
        <v>4.5232246954320994</v>
      </c>
      <c r="P22" s="126">
        <v>8.3692490038067824</v>
      </c>
      <c r="Q22" s="127">
        <v>9.4522568492704835</v>
      </c>
      <c r="R22" s="1" t="str">
        <f>"    "&amp;_xlfn.TEXTJOIN(", ",TRUE,M22:Q22)&amp;","</f>
        <v xml:space="preserve">    4.05422095959098, 4.18628332424125, 4.5232246954321, 8.36924900380678, 9.45225684927048,</v>
      </c>
    </row>
    <row r="23" spans="1:18" ht="15.75" thickBot="1" x14ac:dyDescent="0.25">
      <c r="A23" s="101" t="s">
        <v>6</v>
      </c>
      <c r="B23" s="103"/>
      <c r="C23" s="128">
        <v>93.221737995090834</v>
      </c>
      <c r="D23" s="124">
        <v>91.888033005684576</v>
      </c>
      <c r="E23" s="124">
        <v>90.02393898401543</v>
      </c>
      <c r="F23" s="124">
        <v>72.290420081448175</v>
      </c>
      <c r="G23" s="129">
        <v>51.841305264174281</v>
      </c>
      <c r="H23" s="40"/>
      <c r="I23" s="40"/>
      <c r="J23" s="1" t="str">
        <f>"    "&amp;_xlfn.TEXTJOIN(", ",TRUE,C23:G23)&amp;","</f>
        <v xml:space="preserve">    93.2217379950908, 91.8880330056846, 90.0239389840154, 72.2904200814482, 51.8413052641743,</v>
      </c>
      <c r="K23" s="101" t="s">
        <v>6</v>
      </c>
      <c r="L23" s="103"/>
      <c r="M23" s="128">
        <v>3.877808098377264</v>
      </c>
      <c r="N23" s="124">
        <v>3.9588226549458381</v>
      </c>
      <c r="O23" s="124">
        <v>3.8583306594917439</v>
      </c>
      <c r="P23" s="124">
        <v>9.3469718907111154</v>
      </c>
      <c r="Q23" s="129">
        <v>8.4900588367667034</v>
      </c>
      <c r="R23" s="1" t="str">
        <f>"    "&amp;_xlfn.TEXTJOIN(", ",TRUE,M23:Q23)&amp;","</f>
        <v xml:space="preserve">    3.87780809837726, 3.95882265494584, 3.85833065949174, 9.34697189071112, 8.4900588367667,</v>
      </c>
    </row>
    <row r="24" spans="1:18" ht="15.75" thickBot="1" x14ac:dyDescent="0.25">
      <c r="A24" s="106" t="s">
        <v>10</v>
      </c>
      <c r="B24" s="104"/>
      <c r="C24" s="130">
        <v>88.242190127710941</v>
      </c>
      <c r="D24" s="131">
        <v>87.235659245723795</v>
      </c>
      <c r="E24" s="131">
        <v>86.840356363138071</v>
      </c>
      <c r="F24" s="131">
        <v>74.54100008231579</v>
      </c>
      <c r="G24" s="132">
        <v>48.979529992306112</v>
      </c>
      <c r="H24" s="40"/>
      <c r="I24" s="40"/>
      <c r="J24" s="1" t="str">
        <f>"    "&amp;_xlfn.TEXTJOIN(", ",TRUE,C24:G24)&amp;","</f>
        <v xml:space="preserve">    88.2421901277109, 87.2356592457238, 86.8403563631381, 74.5410000823158, 48.9795299923061,</v>
      </c>
      <c r="K24" s="106" t="s">
        <v>10</v>
      </c>
      <c r="L24" s="104"/>
      <c r="M24" s="130">
        <v>3.345739818904093</v>
      </c>
      <c r="N24" s="131">
        <v>2.427737239251389</v>
      </c>
      <c r="O24" s="131">
        <v>1.707344435820553</v>
      </c>
      <c r="P24" s="131">
        <v>2.910710341880129</v>
      </c>
      <c r="Q24" s="132">
        <v>2.034771708486713</v>
      </c>
      <c r="R24" s="1" t="str">
        <f>"    "&amp;_xlfn.TEXTJOIN(", ",TRUE,M24:Q24)&amp;","</f>
        <v xml:space="preserve">    3.34573981890409, 2.42773723925139, 1.70734443582055, 2.91071034188013, 2.03477170848671,</v>
      </c>
    </row>
    <row r="25" spans="1:18" ht="15.75" thickBot="1" x14ac:dyDescent="0.25">
      <c r="A25" s="101" t="s">
        <v>12</v>
      </c>
      <c r="B25" s="103"/>
      <c r="C25" s="103"/>
      <c r="D25" s="103"/>
      <c r="E25" s="103"/>
      <c r="F25" s="103"/>
      <c r="G25" s="102"/>
      <c r="H25" s="40"/>
      <c r="I25" s="40"/>
      <c r="J25" s="1"/>
      <c r="K25" s="101" t="s">
        <v>12</v>
      </c>
      <c r="L25" s="103"/>
      <c r="M25" s="103"/>
      <c r="N25" s="103"/>
      <c r="O25" s="103"/>
      <c r="P25" s="103"/>
      <c r="Q25" s="102"/>
      <c r="R25" s="1"/>
    </row>
    <row r="26" spans="1:18" ht="15.75" thickBot="1" x14ac:dyDescent="0.25">
      <c r="A26" s="93" t="s">
        <v>11</v>
      </c>
      <c r="B26" s="142" t="s">
        <v>13</v>
      </c>
      <c r="C26" s="125">
        <v>92.884757186814937</v>
      </c>
      <c r="D26" s="126">
        <v>92.335436215459112</v>
      </c>
      <c r="E26" s="126">
        <v>90.9231205519105</v>
      </c>
      <c r="F26" s="126">
        <v>76.864790806262661</v>
      </c>
      <c r="G26" s="127">
        <v>54.700390036572337</v>
      </c>
      <c r="H26" s="40"/>
      <c r="I26" s="40"/>
      <c r="J26" s="1" t="str">
        <f>"    "&amp;_xlfn.TEXTJOIN(", ",TRUE,C26:G26)&amp;","</f>
        <v xml:space="preserve">    92.8847571868149, 92.3354362154591, 90.9231205519105, 76.8647908062627, 54.7003900365723,</v>
      </c>
      <c r="K26" s="93" t="s">
        <v>11</v>
      </c>
      <c r="L26" s="142" t="s">
        <v>13</v>
      </c>
      <c r="M26" s="125">
        <v>3.9275095693540201</v>
      </c>
      <c r="N26" s="126">
        <v>4.1004926648702904</v>
      </c>
      <c r="O26" s="126">
        <v>3.731232057084795</v>
      </c>
      <c r="P26" s="126">
        <v>7.9334375921235116</v>
      </c>
      <c r="Q26" s="127">
        <v>9.3194201516218254</v>
      </c>
      <c r="R26" s="1" t="str">
        <f>"    "&amp;_xlfn.TEXTJOIN(", ",TRUE,M26:Q26)&amp;","</f>
        <v xml:space="preserve">    3.92750956935402, 4.10049266487029, 3.73123205708479, 7.93343759212351, 9.31942015162183,</v>
      </c>
    </row>
    <row r="27" spans="1:18" ht="15.75" thickBot="1" x14ac:dyDescent="0.25">
      <c r="A27" s="14" t="s">
        <v>11</v>
      </c>
      <c r="B27" s="122" t="s">
        <v>14</v>
      </c>
      <c r="C27" s="128">
        <v>92.328683900261311</v>
      </c>
      <c r="D27" s="124">
        <v>92.052039116791605</v>
      </c>
      <c r="E27" s="124">
        <v>90.722946775710213</v>
      </c>
      <c r="F27" s="124">
        <v>81.998727124399025</v>
      </c>
      <c r="G27" s="129">
        <v>56.932651064742558</v>
      </c>
      <c r="H27" s="40"/>
      <c r="I27" s="40"/>
      <c r="J27" s="1" t="str">
        <f>"    "&amp;_xlfn.TEXTJOIN(", ",TRUE,C27:G27)&amp;","</f>
        <v xml:space="preserve">    92.3286839002613, 92.0520391167916, 90.7229467757102, 81.998727124399, 56.9326510647426,</v>
      </c>
      <c r="K27" s="14" t="s">
        <v>11</v>
      </c>
      <c r="L27" s="122" t="s">
        <v>14</v>
      </c>
      <c r="M27" s="128">
        <v>3.6425445085490389</v>
      </c>
      <c r="N27" s="124">
        <v>3.5031960343483388</v>
      </c>
      <c r="O27" s="124">
        <v>3.28867394504752</v>
      </c>
      <c r="P27" s="124">
        <v>4.6860855472410874</v>
      </c>
      <c r="Q27" s="129">
        <v>6.5118967468904154</v>
      </c>
      <c r="R27" s="1" t="str">
        <f>"    "&amp;_xlfn.TEXTJOIN(", ",TRUE,M27:Q27)&amp;","</f>
        <v xml:space="preserve">    3.64254450854904, 3.50319603434834, 3.28867394504752, 4.68608554724109, 6.51189674689042,</v>
      </c>
    </row>
    <row r="28" spans="1:18" ht="15.75" thickBot="1" x14ac:dyDescent="0.25">
      <c r="A28" s="14" t="s">
        <v>11</v>
      </c>
      <c r="B28" s="122" t="s">
        <v>18</v>
      </c>
      <c r="C28" s="128">
        <v>93.17956577363725</v>
      </c>
      <c r="D28" s="124">
        <v>92.311564351892216</v>
      </c>
      <c r="E28" s="124">
        <v>90.442696954145944</v>
      </c>
      <c r="F28" s="124">
        <v>73.029683164461161</v>
      </c>
      <c r="G28" s="129">
        <v>54.393186167944343</v>
      </c>
      <c r="H28" s="40"/>
      <c r="I28" s="40"/>
      <c r="J28" s="1"/>
      <c r="K28" s="14" t="s">
        <v>11</v>
      </c>
      <c r="L28" s="122" t="s">
        <v>18</v>
      </c>
      <c r="M28" s="128">
        <v>3.743131605295734</v>
      </c>
      <c r="N28" s="124">
        <v>4.0679999153192643</v>
      </c>
      <c r="O28" s="124">
        <v>4.2835813429220631</v>
      </c>
      <c r="P28" s="124">
        <v>9.1240722898599991</v>
      </c>
      <c r="Q28" s="129">
        <v>8.7084512165137298</v>
      </c>
      <c r="R28" s="1"/>
    </row>
    <row r="29" spans="1:18" ht="15.75" thickBot="1" x14ac:dyDescent="0.25">
      <c r="A29" s="14" t="s">
        <v>11</v>
      </c>
      <c r="B29" s="122" t="s">
        <v>19</v>
      </c>
      <c r="C29" s="130">
        <v>90.264167794210408</v>
      </c>
      <c r="D29" s="131">
        <v>89.992256751037203</v>
      </c>
      <c r="E29" s="131">
        <v>89.343495694119156</v>
      </c>
      <c r="F29" s="131">
        <v>78.329165755951735</v>
      </c>
      <c r="G29" s="132">
        <v>52.215737786802968</v>
      </c>
      <c r="H29" s="40"/>
      <c r="I29" s="40"/>
      <c r="J29" s="1"/>
      <c r="K29" s="14" t="s">
        <v>11</v>
      </c>
      <c r="L29" s="136" t="s">
        <v>19</v>
      </c>
      <c r="M29" s="130">
        <v>2.813777787794177</v>
      </c>
      <c r="N29" s="131">
        <v>2.515073286885404</v>
      </c>
      <c r="O29" s="131">
        <v>2.61246052058309</v>
      </c>
      <c r="P29" s="131">
        <v>3.988565827203912</v>
      </c>
      <c r="Q29" s="132">
        <v>3.7859616126423878</v>
      </c>
      <c r="R29" s="1"/>
    </row>
    <row r="30" spans="1:18" ht="15.75" thickBot="1" x14ac:dyDescent="0.25">
      <c r="A30" s="101" t="s">
        <v>20</v>
      </c>
      <c r="B30" s="103"/>
      <c r="C30" s="123"/>
      <c r="D30" s="123"/>
      <c r="E30" s="123"/>
      <c r="F30" s="123"/>
      <c r="G30" s="123"/>
      <c r="H30" s="40"/>
      <c r="I30" s="40"/>
      <c r="J30" s="1"/>
      <c r="K30" s="101" t="s">
        <v>20</v>
      </c>
      <c r="L30" s="103"/>
      <c r="M30" s="103"/>
      <c r="N30" s="103"/>
      <c r="O30" s="103"/>
      <c r="P30" s="103"/>
      <c r="Q30" s="102"/>
      <c r="R30" s="1"/>
    </row>
    <row r="31" spans="1:18" ht="14.25" customHeight="1" thickBot="1" x14ac:dyDescent="0.25">
      <c r="A31" s="101" t="s">
        <v>7</v>
      </c>
      <c r="B31" s="103"/>
      <c r="C31" s="125">
        <v>92.781043798288394</v>
      </c>
      <c r="D31" s="126">
        <v>92.393805655393209</v>
      </c>
      <c r="E31" s="126">
        <v>90.00908396624763</v>
      </c>
      <c r="F31" s="126">
        <v>72.498171965203667</v>
      </c>
      <c r="G31" s="127">
        <v>56.674852997991948</v>
      </c>
      <c r="H31" s="40"/>
      <c r="I31" s="40"/>
      <c r="J31" s="1" t="str">
        <f>"    "&amp;_xlfn.TEXTJOIN(", ",TRUE,C31:G31)&amp;","</f>
        <v xml:space="preserve">    92.7810437982884, 92.3938056553932, 90.0090839662476, 72.4981719652037, 56.6748529979919,</v>
      </c>
      <c r="K31" s="113" t="s">
        <v>7</v>
      </c>
      <c r="L31" s="141"/>
      <c r="M31" s="125">
        <v>4.5014366094349993</v>
      </c>
      <c r="N31" s="126">
        <v>4.2660991290099446</v>
      </c>
      <c r="O31" s="126">
        <v>4.2894182874628113</v>
      </c>
      <c r="P31" s="126">
        <v>9.3344724861133059</v>
      </c>
      <c r="Q31" s="127">
        <v>9.7546209717543917</v>
      </c>
      <c r="R31" s="1" t="str">
        <f>"    "&amp;_xlfn.TEXTJOIN(", ",TRUE,M31:Q31)&amp;","</f>
        <v xml:space="preserve">    4.501436609435, 4.26609912900994, 4.28941828746281, 9.33447248611331, 9.75462097175439,</v>
      </c>
    </row>
    <row r="32" spans="1:18" ht="15.75" thickBot="1" x14ac:dyDescent="0.25">
      <c r="A32" s="101" t="s">
        <v>8</v>
      </c>
      <c r="B32" s="103"/>
      <c r="C32" s="128">
        <v>93.113144022293241</v>
      </c>
      <c r="D32" s="124">
        <v>91.949604112069864</v>
      </c>
      <c r="E32" s="124">
        <v>88.043149271791009</v>
      </c>
      <c r="F32" s="124">
        <v>70.437814383158539</v>
      </c>
      <c r="G32" s="129">
        <v>50.027165788274679</v>
      </c>
      <c r="H32" s="40"/>
      <c r="I32" s="40"/>
      <c r="J32" s="1" t="str">
        <f>"    "&amp;_xlfn.TEXTJOIN(", ",TRUE,C32:G32)&amp;","</f>
        <v xml:space="preserve">    93.1131440222932, 91.9496041120699, 88.043149271791, 70.4378143831585, 50.0271657882747,</v>
      </c>
      <c r="K32" s="101" t="s">
        <v>8</v>
      </c>
      <c r="L32" s="103"/>
      <c r="M32" s="128">
        <v>4.249709534316878</v>
      </c>
      <c r="N32" s="124">
        <v>4.0308606644498308</v>
      </c>
      <c r="O32" s="124">
        <v>4.9865974054077986</v>
      </c>
      <c r="P32" s="124">
        <v>10.497443911766959</v>
      </c>
      <c r="Q32" s="129">
        <v>10.803449952087821</v>
      </c>
      <c r="R32" s="1" t="str">
        <f>"    "&amp;_xlfn.TEXTJOIN(", ",TRUE,M32:Q32)&amp;","</f>
        <v xml:space="preserve">    4.24970953431688, 4.03086066444983, 4.9865974054078, 10.497443911767, 10.8034499520878,</v>
      </c>
    </row>
    <row r="33" spans="1:18" ht="15.75" thickBot="1" x14ac:dyDescent="0.25">
      <c r="A33" s="101" t="s">
        <v>21</v>
      </c>
      <c r="B33" s="103"/>
      <c r="C33" s="130">
        <v>92.587964837227005</v>
      </c>
      <c r="D33" s="131">
        <v>91.423582441600061</v>
      </c>
      <c r="E33" s="131">
        <v>88.545464929422721</v>
      </c>
      <c r="F33" s="131">
        <v>71.659800595038618</v>
      </c>
      <c r="G33" s="132">
        <v>50.266469026560699</v>
      </c>
      <c r="H33" s="40"/>
      <c r="I33" s="40"/>
      <c r="J33" s="1" t="str">
        <f>"    "&amp;_xlfn.TEXTJOIN(", ",TRUE,C33:G33)&amp;","</f>
        <v xml:space="preserve">    92.587964837227, 91.4235824416001, 88.5454649294227, 71.6598005950386, 50.2664690265607,</v>
      </c>
      <c r="K33" s="101" t="s">
        <v>21</v>
      </c>
      <c r="L33" s="103"/>
      <c r="M33" s="128">
        <v>3.7645606938355249</v>
      </c>
      <c r="N33" s="124">
        <v>4.4885904163036674</v>
      </c>
      <c r="O33" s="124">
        <v>4.6842035667864703</v>
      </c>
      <c r="P33" s="124">
        <v>10.46873255591585</v>
      </c>
      <c r="Q33" s="129">
        <v>9.9892548989807413</v>
      </c>
      <c r="R33" s="1" t="str">
        <f>"    "&amp;_xlfn.TEXTJOIN(", ",TRUE,M33:Q33)&amp;","</f>
        <v xml:space="preserve">    3.76456069383552, 4.48859041630367, 4.68420356678647, 10.4687325559158, 9.98925489898074,</v>
      </c>
    </row>
    <row r="34" spans="1:18" ht="15.75" thickBot="1" x14ac:dyDescent="0.25">
      <c r="A34" s="106" t="s">
        <v>22</v>
      </c>
      <c r="B34" s="107"/>
      <c r="C34" s="134"/>
      <c r="D34" s="135"/>
      <c r="E34" s="135"/>
      <c r="F34" s="135"/>
      <c r="G34" s="135"/>
      <c r="H34" s="45"/>
      <c r="I34" s="45"/>
      <c r="J34" s="1" t="str">
        <f>"    "&amp;_xlfn.TEXTJOIN(", ",TRUE,C34:G34)&amp;","</f>
        <v xml:space="preserve">    ,</v>
      </c>
      <c r="K34" s="106" t="s">
        <v>22</v>
      </c>
      <c r="L34" s="104"/>
      <c r="M34" s="41"/>
      <c r="N34" s="42"/>
      <c r="O34" s="42"/>
      <c r="P34" s="42"/>
      <c r="Q34" s="145"/>
      <c r="R34" s="1" t="str">
        <f>"    "&amp;_xlfn.TEXTJOIN(", ",TRUE,M34:Q34)&amp;","</f>
        <v xml:space="preserve">    ,</v>
      </c>
    </row>
    <row r="35" spans="1:18" ht="15.75" customHeight="1" thickBot="1" x14ac:dyDescent="0.25">
      <c r="A35" s="101" t="s">
        <v>23</v>
      </c>
      <c r="B35" s="103"/>
      <c r="C35" s="103"/>
      <c r="D35" s="103"/>
      <c r="E35" s="103"/>
      <c r="F35" s="103"/>
      <c r="G35" s="102"/>
      <c r="H35" s="40"/>
      <c r="I35" s="40"/>
      <c r="J35" s="1"/>
      <c r="K35" s="101" t="s">
        <v>23</v>
      </c>
      <c r="L35" s="103"/>
      <c r="M35" s="103"/>
      <c r="N35" s="103"/>
      <c r="O35" s="103"/>
      <c r="P35" s="103"/>
      <c r="Q35" s="102"/>
      <c r="R35" s="1"/>
    </row>
    <row r="36" spans="1:18" ht="15.75" customHeight="1" thickBot="1" x14ac:dyDescent="0.25">
      <c r="A36" s="113" t="s">
        <v>7</v>
      </c>
      <c r="B36" s="141"/>
      <c r="C36" s="125">
        <v>92.779242983398433</v>
      </c>
      <c r="D36" s="126">
        <v>92.240270194904923</v>
      </c>
      <c r="E36" s="126">
        <v>90.552301433559194</v>
      </c>
      <c r="F36" s="126">
        <v>77.44681530627544</v>
      </c>
      <c r="G36" s="127">
        <v>54.049481297537007</v>
      </c>
      <c r="H36" s="40"/>
      <c r="I36" s="40"/>
      <c r="J36" s="1" t="str">
        <f>"    "&amp;_xlfn.TEXTJOIN(", ",TRUE,C36:G36)&amp;","</f>
        <v xml:space="preserve">    92.7792429833984, 92.2402701949049, 90.5523014335592, 77.4468153062754, 54.049481297537,</v>
      </c>
      <c r="K36" s="113" t="s">
        <v>7</v>
      </c>
      <c r="L36" s="141"/>
      <c r="M36" s="125">
        <v>3.8708284466838099</v>
      </c>
      <c r="N36" s="126">
        <v>4.1159624538095514</v>
      </c>
      <c r="O36" s="126">
        <v>4.0917292690559766</v>
      </c>
      <c r="P36" s="126">
        <v>6.9723184162377478</v>
      </c>
      <c r="Q36" s="127">
        <v>8.876523191689154</v>
      </c>
      <c r="R36" s="1" t="str">
        <f>"    "&amp;_xlfn.TEXTJOIN(", ",TRUE,M36:Q36)&amp;","</f>
        <v xml:space="preserve">    3.87082844668381, 4.11596245380955, 4.09172926905598, 6.97231841623775, 8.87652319168915,</v>
      </c>
    </row>
    <row r="37" spans="1:18" ht="15.75" customHeight="1" thickBot="1" x14ac:dyDescent="0.25">
      <c r="A37" s="106" t="s">
        <v>8</v>
      </c>
      <c r="B37" s="104"/>
      <c r="C37" s="128">
        <v>91.529115829853595</v>
      </c>
      <c r="D37" s="124">
        <v>91.350643423322225</v>
      </c>
      <c r="E37" s="124">
        <v>89.341760932799787</v>
      </c>
      <c r="F37" s="124">
        <v>79.045051998788765</v>
      </c>
      <c r="G37" s="129">
        <v>52.319711731697872</v>
      </c>
      <c r="H37" s="40"/>
      <c r="I37" s="40"/>
      <c r="J37" s="1" t="str">
        <f>"    "&amp;_xlfn.TEXTJOIN(", ",TRUE,C37:G37)&amp;","</f>
        <v xml:space="preserve">    91.5291158298536, 91.3506434233222, 89.3417609327998, 79.0450519987888, 52.3197117316979,</v>
      </c>
      <c r="K37" s="101" t="s">
        <v>8</v>
      </c>
      <c r="L37" s="103"/>
      <c r="M37" s="128">
        <v>3.326792742141544</v>
      </c>
      <c r="N37" s="124">
        <v>3.370578982220036</v>
      </c>
      <c r="O37" s="124">
        <v>5.5895882093977454</v>
      </c>
      <c r="P37" s="124">
        <v>3.3906236766273481</v>
      </c>
      <c r="Q37" s="129">
        <v>4.5139463885317248</v>
      </c>
      <c r="R37" s="1" t="str">
        <f>"    "&amp;_xlfn.TEXTJOIN(", ",TRUE,M37:Q37)&amp;","</f>
        <v xml:space="preserve">    3.32679274214154, 3.37057898222004, 5.58958820939775, 3.39062367662735, 4.51394638853172,</v>
      </c>
    </row>
    <row r="38" spans="1:18" ht="15.75" customHeight="1" thickBot="1" x14ac:dyDescent="0.25">
      <c r="A38" s="101" t="s">
        <v>21</v>
      </c>
      <c r="B38" s="103"/>
      <c r="C38" s="128">
        <v>92.904210456970588</v>
      </c>
      <c r="D38" s="124">
        <v>92.1891124359732</v>
      </c>
      <c r="E38" s="124">
        <v>90.496036698942376</v>
      </c>
      <c r="F38" s="124">
        <v>77.336951327754974</v>
      </c>
      <c r="G38" s="129">
        <v>56.222535937160863</v>
      </c>
      <c r="H38" s="40"/>
      <c r="I38" s="40"/>
      <c r="J38" s="1" t="str">
        <f>"    "&amp;_xlfn.TEXTJOIN(", ",TRUE,C38:G38)&amp;","</f>
        <v xml:space="preserve">    92.9042104569706, 92.1891124359732, 90.4960366989424, 77.336951327755, 56.2225359371609,</v>
      </c>
      <c r="K38" s="101" t="s">
        <v>21</v>
      </c>
      <c r="L38" s="103"/>
      <c r="M38" s="128">
        <v>3.6016716439248402</v>
      </c>
      <c r="N38" s="124">
        <v>3.9740552459554821</v>
      </c>
      <c r="O38" s="124">
        <v>4.0466560589706821</v>
      </c>
      <c r="P38" s="124">
        <v>7.6607457787732498</v>
      </c>
      <c r="Q38" s="129">
        <v>9.1988486675501449</v>
      </c>
      <c r="R38" s="1" t="str">
        <f>"    "&amp;_xlfn.TEXTJOIN(", ",TRUE,M38:Q38)&amp;","</f>
        <v xml:space="preserve">    3.60167164392484, 3.97405524595548, 4.04665605897068, 7.66074577877325, 9.19884866755014,</v>
      </c>
    </row>
    <row r="39" spans="1:18" ht="15.75" customHeight="1" thickBot="1" x14ac:dyDescent="0.25">
      <c r="A39" s="101" t="s">
        <v>22</v>
      </c>
      <c r="B39" s="103"/>
      <c r="C39" s="41"/>
      <c r="D39" s="42"/>
      <c r="E39" s="42"/>
      <c r="F39" s="42"/>
      <c r="G39" s="145"/>
      <c r="H39" s="40"/>
      <c r="I39" s="40"/>
      <c r="J39" s="1" t="str">
        <f>"    "&amp;_xlfn.TEXTJOIN(", ",TRUE,C39:G39)&amp;","</f>
        <v xml:space="preserve">    ,</v>
      </c>
      <c r="K39" s="101" t="s">
        <v>22</v>
      </c>
      <c r="L39" s="103"/>
      <c r="M39" s="41"/>
      <c r="N39" s="42"/>
      <c r="O39" s="42"/>
      <c r="P39" s="42"/>
      <c r="Q39" s="145"/>
      <c r="R39" s="1" t="str">
        <f>"    "&amp;_xlfn.TEXTJOIN(", ",TRUE,M39:Q39)&amp;","</f>
        <v xml:space="preserve">    ,</v>
      </c>
    </row>
    <row r="40" spans="1:18" ht="15" x14ac:dyDescent="0.2">
      <c r="J40" s="11"/>
      <c r="K40" s="11"/>
      <c r="L40" s="11"/>
      <c r="M40" s="11"/>
      <c r="N40" s="11"/>
      <c r="O40" s="11"/>
      <c r="P40" s="11"/>
      <c r="Q40" s="11"/>
    </row>
    <row r="41" spans="1:18" ht="15" x14ac:dyDescent="0.2">
      <c r="J41" s="11"/>
      <c r="K41" s="11"/>
      <c r="L41" s="11"/>
      <c r="M41" s="11"/>
      <c r="N41" s="11"/>
      <c r="O41" s="11"/>
      <c r="P41" s="11"/>
      <c r="Q41" s="11"/>
    </row>
    <row r="42" spans="1:18" ht="15" x14ac:dyDescent="0.2">
      <c r="H42" s="11"/>
      <c r="I42" s="11"/>
      <c r="J42" s="11"/>
      <c r="K42" s="11"/>
      <c r="L42" s="11"/>
      <c r="M42" s="11"/>
      <c r="N42" s="11"/>
      <c r="O42" s="11"/>
      <c r="P42" s="11"/>
      <c r="Q42" s="11"/>
    </row>
    <row r="43" spans="1:18" ht="15" x14ac:dyDescent="0.2">
      <c r="H43" s="11"/>
      <c r="I43" s="11"/>
      <c r="J43" s="11"/>
      <c r="K43" s="11"/>
      <c r="L43" s="11"/>
      <c r="M43" s="11"/>
      <c r="N43" s="11"/>
      <c r="O43" s="11"/>
      <c r="P43" s="11"/>
      <c r="Q43" s="11"/>
    </row>
    <row r="44" spans="1:18" ht="15" x14ac:dyDescent="0.2">
      <c r="H44" s="11"/>
      <c r="I44" s="11"/>
      <c r="J44" s="11"/>
      <c r="K44" s="11"/>
      <c r="L44" s="11"/>
      <c r="M44" s="11"/>
      <c r="N44" s="11"/>
      <c r="O44" s="11"/>
      <c r="P44" s="11"/>
      <c r="Q44" s="11"/>
    </row>
    <row r="45" spans="1:18" ht="15" x14ac:dyDescent="0.2">
      <c r="H45" s="11"/>
      <c r="I45" s="11"/>
      <c r="J45" s="11"/>
      <c r="K45" s="11"/>
      <c r="L45" s="11"/>
      <c r="M45" s="11"/>
      <c r="N45" s="11"/>
      <c r="O45" s="11"/>
      <c r="P45" s="11"/>
      <c r="Q45" s="11"/>
    </row>
  </sheetData>
  <mergeCells count="56">
    <mergeCell ref="A39:B39"/>
    <mergeCell ref="K39:L39"/>
    <mergeCell ref="A36:B36"/>
    <mergeCell ref="K36:L36"/>
    <mergeCell ref="A37:B37"/>
    <mergeCell ref="K37:L37"/>
    <mergeCell ref="A38:B38"/>
    <mergeCell ref="K38:L38"/>
    <mergeCell ref="A33:B33"/>
    <mergeCell ref="K33:L33"/>
    <mergeCell ref="A34:B34"/>
    <mergeCell ref="K34:L34"/>
    <mergeCell ref="A35:G35"/>
    <mergeCell ref="K35:Q35"/>
    <mergeCell ref="A30:G30"/>
    <mergeCell ref="K30:Q30"/>
    <mergeCell ref="A31:B31"/>
    <mergeCell ref="K31:L31"/>
    <mergeCell ref="A32:B32"/>
    <mergeCell ref="K32:L32"/>
    <mergeCell ref="A23:B23"/>
    <mergeCell ref="K23:L23"/>
    <mergeCell ref="A24:B24"/>
    <mergeCell ref="K24:L24"/>
    <mergeCell ref="A25:G25"/>
    <mergeCell ref="K25:Q25"/>
    <mergeCell ref="A18:B18"/>
    <mergeCell ref="K18:L18"/>
    <mergeCell ref="A19:B19"/>
    <mergeCell ref="K19:L19"/>
    <mergeCell ref="A22:B22"/>
    <mergeCell ref="K22:L22"/>
    <mergeCell ref="A15:G15"/>
    <mergeCell ref="K15:Q15"/>
    <mergeCell ref="A16:B16"/>
    <mergeCell ref="K16:L16"/>
    <mergeCell ref="A17:B17"/>
    <mergeCell ref="K17:L17"/>
    <mergeCell ref="A12:B12"/>
    <mergeCell ref="K12:L12"/>
    <mergeCell ref="A13:B13"/>
    <mergeCell ref="K13:L13"/>
    <mergeCell ref="A14:B14"/>
    <mergeCell ref="K14:L14"/>
    <mergeCell ref="A5:G5"/>
    <mergeCell ref="K5:Q5"/>
    <mergeCell ref="A10:G10"/>
    <mergeCell ref="K10:Q10"/>
    <mergeCell ref="A11:B11"/>
    <mergeCell ref="K11:L11"/>
    <mergeCell ref="A2:B2"/>
    <mergeCell ref="K2:L2"/>
    <mergeCell ref="A3:B3"/>
    <mergeCell ref="K3:L3"/>
    <mergeCell ref="A4:B4"/>
    <mergeCell ref="K4:L4"/>
  </mergeCells>
  <phoneticPr fontId="1" type="noConversion"/>
  <conditionalFormatting sqref="C2:G4 C6:G9 C11:G14 C16:G19">
    <cfRule type="colorScale" priority="29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4 H2:I19">
    <cfRule type="colorScale" priority="27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:G4">
    <cfRule type="colorScale" priority="29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3:G4 H3:I5">
    <cfRule type="colorScale" priority="28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8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G6">
    <cfRule type="colorScale" priority="30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G9">
    <cfRule type="colorScale" priority="30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G13 C16:G18">
    <cfRule type="colorScale" priority="30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G13">
    <cfRule type="colorScale" priority="30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0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G14 C16:G19 C6:G9 C2:G4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1:G14 C16:G19">
    <cfRule type="colorScale" priority="3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G18">
    <cfRule type="colorScale" priority="31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:H1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35:H39">
    <cfRule type="colorScale" priority="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35:I39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9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D2A5-B6AE-49D4-BC83-17C47B77B66C}">
  <dimension ref="A1"/>
  <sheetViews>
    <sheetView workbookViewId="0"/>
  </sheetViews>
  <sheetFormatPr defaultRowHeight="14.25" x14ac:dyDescent="0.2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9D5C-8639-4163-9432-7C70C26E1499}">
  <dimension ref="A1:V60"/>
  <sheetViews>
    <sheetView zoomScaleNormal="100" workbookViewId="0">
      <selection activeCell="B37" sqref="B37"/>
    </sheetView>
  </sheetViews>
  <sheetFormatPr defaultRowHeight="14.25" x14ac:dyDescent="0.2"/>
  <cols>
    <col min="1" max="1" width="25" style="10" customWidth="1"/>
    <col min="2" max="2" width="15" style="10" customWidth="1"/>
    <col min="3" max="12" width="9" style="10"/>
    <col min="13" max="13" width="25" style="10" customWidth="1"/>
    <col min="14" max="14" width="15" style="10" customWidth="1"/>
    <col min="15" max="16384" width="9" style="10"/>
  </cols>
  <sheetData>
    <row r="1" spans="1:22" ht="15.75" thickBot="1" x14ac:dyDescent="0.25">
      <c r="A1" s="3" t="s">
        <v>0</v>
      </c>
      <c r="B1" s="13" t="s">
        <v>1</v>
      </c>
      <c r="C1" s="17">
        <v>1</v>
      </c>
      <c r="D1" s="17">
        <v>0.75</v>
      </c>
      <c r="E1" s="17">
        <v>0.5</v>
      </c>
      <c r="F1" s="17">
        <v>0.3</v>
      </c>
      <c r="G1" s="17">
        <v>0.2</v>
      </c>
      <c r="H1" s="17">
        <v>0.1</v>
      </c>
      <c r="I1" s="6">
        <v>0.05</v>
      </c>
      <c r="J1" s="18" t="s">
        <v>9</v>
      </c>
      <c r="K1" s="18" t="s">
        <v>9</v>
      </c>
      <c r="L1" s="12"/>
      <c r="M1" s="3" t="s">
        <v>2</v>
      </c>
      <c r="N1" s="13" t="s">
        <v>1</v>
      </c>
      <c r="O1" s="7">
        <v>1</v>
      </c>
      <c r="P1" s="17">
        <v>0.75</v>
      </c>
      <c r="Q1" s="17">
        <v>0.5</v>
      </c>
      <c r="R1" s="17">
        <v>0.3</v>
      </c>
      <c r="S1" s="17">
        <v>0.2</v>
      </c>
      <c r="T1" s="17">
        <v>0.1</v>
      </c>
      <c r="U1" s="6">
        <v>0.05</v>
      </c>
      <c r="V1" s="12"/>
    </row>
    <row r="2" spans="1:22" ht="15.75" thickBot="1" x14ac:dyDescent="0.25">
      <c r="A2" s="94" t="s">
        <v>5</v>
      </c>
      <c r="B2" s="95"/>
      <c r="C2" s="20"/>
      <c r="D2" s="21"/>
      <c r="E2" s="21"/>
      <c r="F2" s="21"/>
      <c r="G2" s="21"/>
      <c r="H2" s="21"/>
      <c r="I2" s="22"/>
      <c r="J2" s="23" cm="1">
        <f t="array" ref="J2">-SUMPRODUCT((D1:H1-C1:G1)*(C2:G2+D2:H2)/2)</f>
        <v>0</v>
      </c>
      <c r="K2" s="23" cm="1">
        <f t="array" ref="K2">-SUMPRODUCT((D1:I1-C1:H1)*(C2:H2+D2:I2)/2)</f>
        <v>0</v>
      </c>
      <c r="L2" s="12" t="str">
        <f>"    "&amp;_xlfn.TEXTJOIN(", ",TRUE,C2:I2)&amp;","</f>
        <v xml:space="preserve">    ,</v>
      </c>
      <c r="M2" s="94" t="s">
        <v>5</v>
      </c>
      <c r="N2" s="95"/>
      <c r="O2" s="31"/>
      <c r="P2" s="32"/>
      <c r="Q2" s="32"/>
      <c r="R2" s="32"/>
      <c r="S2" s="32"/>
      <c r="T2" s="32"/>
      <c r="U2" s="33"/>
      <c r="V2" s="12" t="str">
        <f>"    "&amp;_xlfn.TEXTJOIN(", ",TRUE,O2:U2)&amp;","</f>
        <v xml:space="preserve">    ,</v>
      </c>
    </row>
    <row r="3" spans="1:22" ht="15.75" thickBot="1" x14ac:dyDescent="0.25">
      <c r="A3" s="94" t="s">
        <v>6</v>
      </c>
      <c r="B3" s="95"/>
      <c r="C3" s="31"/>
      <c r="D3" s="32"/>
      <c r="E3" s="32"/>
      <c r="F3" s="32"/>
      <c r="G3" s="32"/>
      <c r="H3" s="32"/>
      <c r="I3" s="33"/>
      <c r="J3" s="34" cm="1">
        <f t="array" ref="J3">-SUMPRODUCT((D1:H1-C1:G1)*(C3:G3+D3:H3)/2)</f>
        <v>0</v>
      </c>
      <c r="K3" s="34" cm="1">
        <f t="array" ref="K3">-SUMPRODUCT((D1:I1-C1:H1)*(C3:H3+D3:I3)/2)</f>
        <v>0</v>
      </c>
      <c r="L3" s="12" t="str">
        <f t="shared" ref="L3:L18" si="0">"    "&amp;_xlfn.TEXTJOIN(", ",TRUE,C3:I3)&amp;","</f>
        <v xml:space="preserve">    ,</v>
      </c>
      <c r="M3" s="94" t="s">
        <v>6</v>
      </c>
      <c r="N3" s="95"/>
      <c r="O3" s="31"/>
      <c r="P3" s="32"/>
      <c r="Q3" s="32"/>
      <c r="R3" s="32"/>
      <c r="S3" s="32"/>
      <c r="T3" s="32"/>
      <c r="U3" s="33"/>
      <c r="V3" s="12" t="str">
        <f t="shared" ref="V3:V18" si="1">"    "&amp;_xlfn.TEXTJOIN(", ",TRUE,O3:U3)&amp;","</f>
        <v xml:space="preserve">    ,</v>
      </c>
    </row>
    <row r="4" spans="1:22" ht="15.75" thickBot="1" x14ac:dyDescent="0.25">
      <c r="A4" s="94" t="s">
        <v>10</v>
      </c>
      <c r="B4" s="95"/>
      <c r="C4" s="24"/>
      <c r="D4" s="26"/>
      <c r="E4" s="26"/>
      <c r="F4" s="26"/>
      <c r="G4" s="26"/>
      <c r="H4" s="26"/>
      <c r="I4" s="27"/>
      <c r="J4" s="34" cm="1">
        <f t="array" ref="J4">-SUMPRODUCT((D1:H1-C1:G1)*(C4:G4+D4:H4)/2)</f>
        <v>0</v>
      </c>
      <c r="K4" s="34" cm="1">
        <f t="array" ref="K4">-SUMPRODUCT((D1:I1-C1:H1)*(C4:H4+D4:I4)/2)</f>
        <v>0</v>
      </c>
      <c r="L4" s="12" t="str">
        <f t="shared" si="0"/>
        <v xml:space="preserve">    ,</v>
      </c>
      <c r="M4" s="94" t="s">
        <v>10</v>
      </c>
      <c r="N4" s="95"/>
      <c r="O4" s="43"/>
      <c r="P4" s="26"/>
      <c r="Q4" s="26"/>
      <c r="R4" s="26"/>
      <c r="S4" s="26"/>
      <c r="T4" s="26"/>
      <c r="U4" s="27"/>
      <c r="V4" s="12" t="str">
        <f t="shared" si="1"/>
        <v xml:space="preserve">    ,</v>
      </c>
    </row>
    <row r="5" spans="1:22" ht="15.75" thickBot="1" x14ac:dyDescent="0.25">
      <c r="A5" s="94" t="s">
        <v>12</v>
      </c>
      <c r="B5" s="96"/>
      <c r="C5" s="96"/>
      <c r="D5" s="96"/>
      <c r="E5" s="96"/>
      <c r="F5" s="96"/>
      <c r="G5" s="96"/>
      <c r="H5" s="96"/>
      <c r="I5" s="95"/>
      <c r="J5" s="34"/>
      <c r="K5" s="34"/>
      <c r="L5" s="12"/>
      <c r="M5" s="94" t="s">
        <v>12</v>
      </c>
      <c r="N5" s="96"/>
      <c r="O5" s="96"/>
      <c r="P5" s="96"/>
      <c r="Q5" s="96"/>
      <c r="R5" s="96"/>
      <c r="S5" s="96"/>
      <c r="T5" s="96"/>
      <c r="U5" s="95"/>
      <c r="V5" s="12"/>
    </row>
    <row r="6" spans="1:22" ht="15.75" customHeight="1" thickBot="1" x14ac:dyDescent="0.25">
      <c r="A6" s="98" t="s">
        <v>11</v>
      </c>
      <c r="B6" s="8" t="s">
        <v>13</v>
      </c>
      <c r="C6" s="51"/>
      <c r="D6" s="52"/>
      <c r="E6" s="52"/>
      <c r="F6" s="52"/>
      <c r="G6" s="52"/>
      <c r="H6" s="52"/>
      <c r="I6" s="53"/>
      <c r="J6" s="34" cm="1">
        <f t="array" ref="J6">-SUMPRODUCT((D1:H1-C1:G1)*(C6:G6+D6:H6)/2)</f>
        <v>0</v>
      </c>
      <c r="K6" s="34" cm="1">
        <f t="array" ref="K6">-SUMPRODUCT((D1:I1-C1:H1)*(C6:H6+D6:I6)/2)</f>
        <v>0</v>
      </c>
      <c r="L6" s="12" t="str">
        <f t="shared" si="0"/>
        <v xml:space="preserve">    ,</v>
      </c>
      <c r="M6" s="98" t="s">
        <v>11</v>
      </c>
      <c r="N6" s="8" t="s">
        <v>13</v>
      </c>
      <c r="O6" s="51"/>
      <c r="P6" s="52"/>
      <c r="Q6" s="52"/>
      <c r="R6" s="52"/>
      <c r="S6" s="52"/>
      <c r="T6" s="52"/>
      <c r="U6" s="53"/>
      <c r="V6" s="12" t="str">
        <f t="shared" si="1"/>
        <v xml:space="preserve">    ,</v>
      </c>
    </row>
    <row r="7" spans="1:22" ht="15.75" customHeight="1" thickBot="1" x14ac:dyDescent="0.25">
      <c r="A7" s="110"/>
      <c r="B7" s="8" t="s">
        <v>14</v>
      </c>
      <c r="C7" s="51"/>
      <c r="D7" s="52"/>
      <c r="E7" s="52"/>
      <c r="F7" s="52"/>
      <c r="G7" s="52"/>
      <c r="H7" s="52"/>
      <c r="I7" s="53"/>
      <c r="J7" s="34" cm="1">
        <f t="array" ref="J7">-SUMPRODUCT((D1:H1-C1:G1)*(C7:G7+D7:H7)/2)</f>
        <v>0</v>
      </c>
      <c r="K7" s="34" cm="1">
        <f t="array" ref="K7">-SUMPRODUCT((D1:I1-C1:H1)*(C7:H7+D7:I7)/2)</f>
        <v>0</v>
      </c>
      <c r="L7" s="12" t="str">
        <f t="shared" si="0"/>
        <v xml:space="preserve">    ,</v>
      </c>
      <c r="M7" s="110"/>
      <c r="N7" s="8" t="s">
        <v>14</v>
      </c>
      <c r="O7" s="51"/>
      <c r="P7" s="52"/>
      <c r="Q7" s="52"/>
      <c r="R7" s="52"/>
      <c r="S7" s="52"/>
      <c r="T7" s="52"/>
      <c r="U7" s="53"/>
      <c r="V7" s="12" t="str">
        <f t="shared" si="1"/>
        <v xml:space="preserve">    ,</v>
      </c>
    </row>
    <row r="8" spans="1:22" ht="15.75" customHeight="1" thickBot="1" x14ac:dyDescent="0.25">
      <c r="A8" s="110"/>
      <c r="B8" s="8" t="s">
        <v>17</v>
      </c>
      <c r="C8" s="51"/>
      <c r="D8" s="52"/>
      <c r="E8" s="52"/>
      <c r="F8" s="52"/>
      <c r="G8" s="52"/>
      <c r="H8" s="52"/>
      <c r="I8" s="53"/>
      <c r="J8" s="34" cm="1">
        <f t="array" ref="J8">-SUMPRODUCT((D1:H1-C1:G1)*(C8:G8+D8:H8)/2)</f>
        <v>0</v>
      </c>
      <c r="K8" s="34" cm="1">
        <f t="array" ref="K8">-SUMPRODUCT((D1:I1-C1:H1)*(C8:H8+D8:I8)/2)</f>
        <v>0</v>
      </c>
      <c r="L8" s="12" t="str">
        <f t="shared" si="0"/>
        <v xml:space="preserve">    ,</v>
      </c>
      <c r="M8" s="110"/>
      <c r="N8" s="8" t="s">
        <v>17</v>
      </c>
      <c r="O8" s="51"/>
      <c r="P8" s="52"/>
      <c r="Q8" s="52"/>
      <c r="R8" s="52"/>
      <c r="S8" s="52"/>
      <c r="T8" s="52"/>
      <c r="U8" s="53"/>
      <c r="V8" s="12"/>
    </row>
    <row r="9" spans="1:22" ht="15.75" customHeight="1" thickBot="1" x14ac:dyDescent="0.25">
      <c r="A9" s="110"/>
      <c r="B9" s="8" t="s">
        <v>18</v>
      </c>
      <c r="C9" s="51"/>
      <c r="D9" s="52"/>
      <c r="E9" s="52"/>
      <c r="F9" s="52"/>
      <c r="G9" s="52"/>
      <c r="H9" s="52"/>
      <c r="I9" s="53"/>
      <c r="J9" s="34" cm="1">
        <f t="array" ref="J9">-SUMPRODUCT((D1:H1-C1:G1)*(C9:G9+D9:H9)/2)</f>
        <v>0</v>
      </c>
      <c r="K9" s="34" cm="1">
        <f t="array" ref="K9">-SUMPRODUCT((D1:I1-C1:H1)*(C9:H9+D9:I9)/2)</f>
        <v>0</v>
      </c>
      <c r="L9" s="12" t="str">
        <f t="shared" si="0"/>
        <v xml:space="preserve">    ,</v>
      </c>
      <c r="M9" s="110"/>
      <c r="N9" s="8" t="s">
        <v>18</v>
      </c>
      <c r="O9" s="51"/>
      <c r="P9" s="52"/>
      <c r="Q9" s="52"/>
      <c r="R9" s="52"/>
      <c r="S9" s="52"/>
      <c r="T9" s="52"/>
      <c r="U9" s="53"/>
      <c r="V9" s="12"/>
    </row>
    <row r="10" spans="1:22" ht="15.75" customHeight="1" thickBot="1" x14ac:dyDescent="0.25">
      <c r="A10" s="110"/>
      <c r="B10" s="8" t="s">
        <v>15</v>
      </c>
      <c r="C10" s="51"/>
      <c r="D10" s="52"/>
      <c r="E10" s="52"/>
      <c r="F10" s="52"/>
      <c r="G10" s="52"/>
      <c r="H10" s="52"/>
      <c r="I10" s="53"/>
      <c r="J10" s="34" cm="1">
        <f t="array" ref="J10">-SUMPRODUCT((D1:H1-C1:G1)*(C10:G10+D10:H10)/2)</f>
        <v>0</v>
      </c>
      <c r="K10" s="34" cm="1">
        <f t="array" ref="K10">-SUMPRODUCT((D1:I1-C1:H1)*(C10:H10+D10:I10)/2)</f>
        <v>0</v>
      </c>
      <c r="L10" s="12" t="str">
        <f t="shared" si="0"/>
        <v xml:space="preserve">    ,</v>
      </c>
      <c r="M10" s="110"/>
      <c r="N10" s="8" t="s">
        <v>15</v>
      </c>
      <c r="O10" s="51"/>
      <c r="P10" s="52"/>
      <c r="Q10" s="52"/>
      <c r="R10" s="52"/>
      <c r="S10" s="52"/>
      <c r="T10" s="52"/>
      <c r="U10" s="53"/>
      <c r="V10" s="12"/>
    </row>
    <row r="11" spans="1:22" ht="15.75" customHeight="1" thickBot="1" x14ac:dyDescent="0.25">
      <c r="A11" s="110"/>
      <c r="B11" s="8" t="s">
        <v>25</v>
      </c>
      <c r="C11" s="62"/>
      <c r="D11" s="63"/>
      <c r="E11" s="63"/>
      <c r="F11" s="63"/>
      <c r="G11" s="63"/>
      <c r="H11" s="63"/>
      <c r="I11" s="64"/>
      <c r="J11" s="34" cm="1">
        <f t="array" ref="J11">-SUMPRODUCT((D1:H1-C1:G1)*(C11:G11+D11:H11)/2)</f>
        <v>0</v>
      </c>
      <c r="K11" s="34" cm="1">
        <f t="array" ref="K11">-SUMPRODUCT((D1:I1-C1:H1)*(C11:H11+D11:I11)/2)</f>
        <v>0</v>
      </c>
      <c r="L11" s="12" t="str">
        <f t="shared" si="0"/>
        <v xml:space="preserve">    ,</v>
      </c>
      <c r="M11" s="110"/>
      <c r="N11" s="8" t="s">
        <v>25</v>
      </c>
      <c r="O11" s="62"/>
      <c r="P11" s="63"/>
      <c r="Q11" s="63"/>
      <c r="R11" s="63"/>
      <c r="S11" s="63"/>
      <c r="T11" s="63"/>
      <c r="U11" s="64"/>
      <c r="V11" s="12"/>
    </row>
    <row r="12" spans="1:22" ht="15.75" customHeight="1" thickBot="1" x14ac:dyDescent="0.25">
      <c r="A12" s="110"/>
      <c r="B12" s="8" t="s">
        <v>19</v>
      </c>
      <c r="C12" s="51"/>
      <c r="D12" s="52"/>
      <c r="E12" s="52"/>
      <c r="F12" s="52"/>
      <c r="G12" s="52"/>
      <c r="H12" s="52"/>
      <c r="I12" s="53"/>
      <c r="J12" s="34" cm="1">
        <f t="array" ref="J12">-SUMPRODUCT((D1:H1-C1:G1)*(C12:G12+D12:H12)/2)</f>
        <v>0</v>
      </c>
      <c r="K12" s="34" cm="1">
        <f t="array" ref="K12">-SUMPRODUCT((D1:I1-C1:H1)*(C12:H12+D12:I12)/2)</f>
        <v>0</v>
      </c>
      <c r="L12" s="12" t="str">
        <f t="shared" si="0"/>
        <v xml:space="preserve">    ,</v>
      </c>
      <c r="M12" s="110"/>
      <c r="N12" s="8" t="s">
        <v>19</v>
      </c>
      <c r="O12" s="51"/>
      <c r="P12" s="52"/>
      <c r="Q12" s="52"/>
      <c r="R12" s="52"/>
      <c r="S12" s="52"/>
      <c r="T12" s="52"/>
      <c r="U12" s="53"/>
      <c r="V12" s="12"/>
    </row>
    <row r="13" spans="1:22" ht="15.75" customHeight="1" thickBot="1" x14ac:dyDescent="0.25">
      <c r="A13" s="110"/>
      <c r="B13" s="8" t="s">
        <v>16</v>
      </c>
      <c r="C13" s="51"/>
      <c r="D13" s="52"/>
      <c r="E13" s="52"/>
      <c r="F13" s="52"/>
      <c r="G13" s="52"/>
      <c r="H13" s="52"/>
      <c r="I13" s="53"/>
      <c r="J13" s="34" cm="1">
        <f t="array" ref="J13">-SUMPRODUCT((D1:H1-C1:G1)*(C13:G13+D13:H13)/2)</f>
        <v>0</v>
      </c>
      <c r="K13" s="34" cm="1">
        <f t="array" ref="K13">-SUMPRODUCT((D1:I1-C1:H1)*(C13:H13+D13:I13)/2)</f>
        <v>0</v>
      </c>
      <c r="L13" s="12" t="str">
        <f t="shared" si="0"/>
        <v xml:space="preserve">    ,</v>
      </c>
      <c r="M13" s="110"/>
      <c r="N13" s="8" t="s">
        <v>16</v>
      </c>
      <c r="O13" s="51"/>
      <c r="P13" s="52"/>
      <c r="Q13" s="52"/>
      <c r="R13" s="52"/>
      <c r="S13" s="52"/>
      <c r="T13" s="52"/>
      <c r="U13" s="53"/>
      <c r="V13" s="12"/>
    </row>
    <row r="14" spans="1:22" ht="15.75" customHeight="1" thickBot="1" x14ac:dyDescent="0.25">
      <c r="A14" s="111"/>
      <c r="B14" s="8" t="s">
        <v>26</v>
      </c>
      <c r="C14" s="62"/>
      <c r="D14" s="63"/>
      <c r="E14" s="63"/>
      <c r="F14" s="63"/>
      <c r="G14" s="63"/>
      <c r="H14" s="63"/>
      <c r="I14" s="64"/>
      <c r="J14" s="34" cm="1">
        <f t="array" ref="J14">-SUMPRODUCT((D1:H1-C1:G1)*(C14:G14+D14:H14)/2)</f>
        <v>0</v>
      </c>
      <c r="K14" s="34" cm="1">
        <f t="array" ref="K14">-SUMPRODUCT((D1:I1-C1:H1)*(C14:H14+D14:I14)/2)</f>
        <v>0</v>
      </c>
      <c r="L14" s="12" t="str">
        <f t="shared" si="0"/>
        <v xml:space="preserve">    ,</v>
      </c>
      <c r="M14" s="111"/>
      <c r="N14" s="8" t="s">
        <v>26</v>
      </c>
      <c r="O14" s="12"/>
      <c r="P14" s="12"/>
      <c r="Q14" s="12"/>
      <c r="R14" s="12"/>
      <c r="S14" s="12"/>
      <c r="T14" s="12"/>
      <c r="U14" s="12"/>
      <c r="V14" s="12"/>
    </row>
    <row r="15" spans="1:22" ht="15.75" thickBot="1" x14ac:dyDescent="0.25">
      <c r="A15" s="94" t="s">
        <v>20</v>
      </c>
      <c r="B15" s="96"/>
      <c r="C15" s="100"/>
      <c r="D15" s="100"/>
      <c r="E15" s="100"/>
      <c r="F15" s="100"/>
      <c r="G15" s="100"/>
      <c r="H15" s="100"/>
      <c r="I15" s="108"/>
      <c r="J15" s="34"/>
      <c r="K15" s="34"/>
      <c r="L15" s="12"/>
      <c r="M15" s="94" t="s">
        <v>20</v>
      </c>
      <c r="N15" s="96"/>
      <c r="O15" s="97"/>
      <c r="P15" s="97"/>
      <c r="Q15" s="97"/>
      <c r="R15" s="97"/>
      <c r="S15" s="97"/>
      <c r="T15" s="97"/>
      <c r="U15" s="99"/>
      <c r="V15" s="12"/>
    </row>
    <row r="16" spans="1:22" ht="15.75" customHeight="1" thickBot="1" x14ac:dyDescent="0.25">
      <c r="A16" s="94" t="s">
        <v>7</v>
      </c>
      <c r="B16" s="95"/>
      <c r="C16" s="46"/>
      <c r="D16" s="47"/>
      <c r="E16" s="47"/>
      <c r="F16" s="47"/>
      <c r="G16" s="47"/>
      <c r="H16" s="47"/>
      <c r="I16" s="48"/>
      <c r="J16" s="34" cm="1">
        <f t="array" ref="J16">-SUMPRODUCT((D1:H1-C1:G1)*(C16:G16+D16:H16)/2)</f>
        <v>0</v>
      </c>
      <c r="K16" s="34" cm="1">
        <f t="array" ref="K16">-SUMPRODUCT((D1:I1-C1:H1)*(C16:H16+D16:I16)/2)</f>
        <v>0</v>
      </c>
      <c r="L16" s="12" t="str">
        <f t="shared" si="0"/>
        <v xml:space="preserve">    ,</v>
      </c>
      <c r="M16" s="94" t="s">
        <v>7</v>
      </c>
      <c r="N16" s="95"/>
      <c r="O16" s="46"/>
      <c r="P16" s="47"/>
      <c r="Q16" s="47"/>
      <c r="R16" s="47"/>
      <c r="S16" s="47"/>
      <c r="T16" s="47"/>
      <c r="U16" s="48"/>
      <c r="V16" s="12" t="str">
        <f t="shared" si="1"/>
        <v xml:space="preserve">    ,</v>
      </c>
    </row>
    <row r="17" spans="1:22" ht="15.75" customHeight="1" thickBot="1" x14ac:dyDescent="0.25">
      <c r="A17" s="98" t="s">
        <v>8</v>
      </c>
      <c r="B17" s="99"/>
      <c r="C17" s="49"/>
      <c r="D17" s="12"/>
      <c r="E17" s="12"/>
      <c r="F17" s="12"/>
      <c r="G17" s="12"/>
      <c r="H17" s="12"/>
      <c r="I17" s="50"/>
      <c r="J17" s="34" cm="1">
        <f t="array" ref="J17">-SUMPRODUCT((D1:H1-C1:G1)*(C17:G17+D17:H17)/2)</f>
        <v>0</v>
      </c>
      <c r="K17" s="34" cm="1">
        <f t="array" ref="K17">-SUMPRODUCT((D1:I1-C1:H1)*(C17:H17+D17:I17)/2)</f>
        <v>0</v>
      </c>
      <c r="L17" s="12" t="str">
        <f t="shared" si="0"/>
        <v xml:space="preserve">    ,</v>
      </c>
      <c r="M17" s="94" t="s">
        <v>8</v>
      </c>
      <c r="N17" s="95"/>
      <c r="O17" s="49"/>
      <c r="P17" s="12"/>
      <c r="Q17" s="12"/>
      <c r="R17" s="12"/>
      <c r="S17" s="12"/>
      <c r="T17" s="12"/>
      <c r="U17" s="50"/>
      <c r="V17" s="12" t="str">
        <f t="shared" si="1"/>
        <v xml:space="preserve">    ,</v>
      </c>
    </row>
    <row r="18" spans="1:22" ht="15.75" customHeight="1" thickBot="1" x14ac:dyDescent="0.25">
      <c r="A18" s="94" t="s">
        <v>21</v>
      </c>
      <c r="B18" s="95"/>
      <c r="C18" s="49"/>
      <c r="D18" s="12"/>
      <c r="E18" s="12"/>
      <c r="F18" s="12"/>
      <c r="G18" s="12"/>
      <c r="H18" s="12"/>
      <c r="I18" s="50"/>
      <c r="J18" s="34" cm="1">
        <f t="array" ref="J18">-SUMPRODUCT((D1:H1-C1:G1)*(C18:G18+D18:H18)/2)</f>
        <v>0</v>
      </c>
      <c r="K18" s="34" cm="1">
        <f t="array" ref="K18">-SUMPRODUCT((D1:I1-C1:H1)*(C18:H18+D18:I18)/2)</f>
        <v>0</v>
      </c>
      <c r="L18" s="12" t="str">
        <f t="shared" si="0"/>
        <v xml:space="preserve">    ,</v>
      </c>
      <c r="M18" s="94" t="s">
        <v>21</v>
      </c>
      <c r="N18" s="95"/>
      <c r="O18" s="49"/>
      <c r="P18" s="12"/>
      <c r="Q18" s="12"/>
      <c r="R18" s="12"/>
      <c r="S18" s="12"/>
      <c r="T18" s="12"/>
      <c r="U18" s="50"/>
      <c r="V18" s="12" t="str">
        <f t="shared" si="1"/>
        <v xml:space="preserve">    ,</v>
      </c>
    </row>
    <row r="19" spans="1:22" ht="15.75" customHeight="1" thickBot="1" x14ac:dyDescent="0.25">
      <c r="A19" s="94" t="s">
        <v>22</v>
      </c>
      <c r="B19" s="95"/>
      <c r="C19" s="51"/>
      <c r="D19" s="52"/>
      <c r="E19" s="52"/>
      <c r="F19" s="52"/>
      <c r="G19" s="52"/>
      <c r="H19" s="52"/>
      <c r="I19" s="53"/>
      <c r="J19" s="34" cm="1">
        <f t="array" ref="J19">-SUMPRODUCT((D1:H1-C1:G1)*(C19:G19+D19:H19)/2)</f>
        <v>0</v>
      </c>
      <c r="K19" s="34" cm="1">
        <f t="array" ref="K19">-SUMPRODUCT((D1:I1-C1:H1)*(C19:H19+D19:I19)/2)</f>
        <v>0</v>
      </c>
      <c r="L19" s="12"/>
      <c r="M19" s="94" t="s">
        <v>22</v>
      </c>
      <c r="N19" s="95"/>
      <c r="O19" s="51"/>
      <c r="P19" s="52"/>
      <c r="Q19" s="52"/>
      <c r="R19" s="52"/>
      <c r="S19" s="52"/>
      <c r="T19" s="52"/>
      <c r="U19" s="53"/>
      <c r="V19" s="12"/>
    </row>
    <row r="20" spans="1:22" ht="15.75" customHeight="1" thickBot="1" x14ac:dyDescent="0.25">
      <c r="A20" s="94" t="s">
        <v>23</v>
      </c>
      <c r="B20" s="96"/>
      <c r="C20" s="100"/>
      <c r="D20" s="100"/>
      <c r="E20" s="100"/>
      <c r="F20" s="100"/>
      <c r="G20" s="100"/>
      <c r="H20" s="100"/>
      <c r="I20" s="108"/>
      <c r="J20" s="34"/>
      <c r="K20" s="34"/>
      <c r="L20" s="12"/>
      <c r="M20" s="94" t="s">
        <v>23</v>
      </c>
      <c r="N20" s="96"/>
      <c r="O20" s="100"/>
      <c r="P20" s="100"/>
      <c r="Q20" s="100"/>
      <c r="R20" s="100"/>
      <c r="S20" s="100"/>
      <c r="T20" s="100"/>
      <c r="U20" s="108"/>
      <c r="V20" s="12"/>
    </row>
    <row r="21" spans="1:22" ht="15.75" customHeight="1" thickBot="1" x14ac:dyDescent="0.25">
      <c r="A21" s="94" t="s">
        <v>7</v>
      </c>
      <c r="B21" s="95"/>
      <c r="C21" s="46"/>
      <c r="D21" s="47"/>
      <c r="E21" s="47"/>
      <c r="F21" s="47"/>
      <c r="G21" s="47"/>
      <c r="H21" s="47"/>
      <c r="I21" s="48"/>
      <c r="J21" s="34" cm="1">
        <f t="array" ref="J21">-SUMPRODUCT((D1:H1-C1:G1)*(C21:G21+D21:H21)/2)</f>
        <v>0</v>
      </c>
      <c r="K21" s="34" cm="1">
        <f t="array" ref="K21">-SUMPRODUCT((D1:I1-C1:H1)*(C21:H21+D21:I21)/2)</f>
        <v>0</v>
      </c>
      <c r="L21" s="12" t="str">
        <f t="shared" ref="L21:L23" si="2">"    "&amp;_xlfn.TEXTJOIN(", ",TRUE,C21:I21)&amp;","</f>
        <v xml:space="preserve">    ,</v>
      </c>
      <c r="M21" s="94" t="s">
        <v>7</v>
      </c>
      <c r="N21" s="95"/>
      <c r="O21" s="46"/>
      <c r="P21" s="47"/>
      <c r="Q21" s="47"/>
      <c r="R21" s="47"/>
      <c r="S21" s="47"/>
      <c r="T21" s="47"/>
      <c r="U21" s="48"/>
      <c r="V21" s="12" t="str">
        <f t="shared" ref="V21:V23" si="3">"    "&amp;_xlfn.TEXTJOIN(", ",TRUE,O21:U21)&amp;","</f>
        <v xml:space="preserve">    ,</v>
      </c>
    </row>
    <row r="22" spans="1:22" ht="15.75" customHeight="1" thickBot="1" x14ac:dyDescent="0.25">
      <c r="A22" s="98" t="s">
        <v>8</v>
      </c>
      <c r="B22" s="99"/>
      <c r="C22" s="49"/>
      <c r="D22" s="12"/>
      <c r="E22" s="12"/>
      <c r="F22" s="12"/>
      <c r="G22" s="12"/>
      <c r="H22" s="12"/>
      <c r="I22" s="50"/>
      <c r="J22" s="34" cm="1">
        <f t="array" ref="J22">-SUMPRODUCT((D1:H1-C1:G1)*(C22:G22+D22:H22)/2)</f>
        <v>0</v>
      </c>
      <c r="K22" s="34" cm="1">
        <f t="array" ref="K22">-SUMPRODUCT((D1:I1-C1:H1)*(C22:H22+D22:I22)/2)</f>
        <v>0</v>
      </c>
      <c r="L22" s="12" t="str">
        <f t="shared" si="2"/>
        <v xml:space="preserve">    ,</v>
      </c>
      <c r="M22" s="94" t="s">
        <v>8</v>
      </c>
      <c r="N22" s="95"/>
      <c r="O22" s="49"/>
      <c r="P22" s="12"/>
      <c r="Q22" s="12"/>
      <c r="R22" s="12"/>
      <c r="S22" s="12"/>
      <c r="T22" s="12"/>
      <c r="U22" s="50"/>
      <c r="V22" s="12" t="str">
        <f t="shared" si="3"/>
        <v xml:space="preserve">    ,</v>
      </c>
    </row>
    <row r="23" spans="1:22" ht="15.75" customHeight="1" thickBot="1" x14ac:dyDescent="0.25">
      <c r="A23" s="94" t="s">
        <v>21</v>
      </c>
      <c r="B23" s="95"/>
      <c r="C23" s="49"/>
      <c r="D23" s="12"/>
      <c r="E23" s="12"/>
      <c r="F23" s="12"/>
      <c r="G23" s="12"/>
      <c r="H23" s="12"/>
      <c r="I23" s="50"/>
      <c r="J23" s="34" cm="1">
        <f t="array" ref="J23">-SUMPRODUCT((D1:H1-C1:G1)*(C23:G23+D23:H23)/2)</f>
        <v>0</v>
      </c>
      <c r="K23" s="34" cm="1">
        <f t="array" ref="K23">-SUMPRODUCT((D1:I1-C1:H1)*(C23:H23+D23:I23)/2)</f>
        <v>0</v>
      </c>
      <c r="L23" s="12" t="str">
        <f t="shared" si="2"/>
        <v xml:space="preserve">    ,</v>
      </c>
      <c r="M23" s="94" t="s">
        <v>21</v>
      </c>
      <c r="N23" s="95"/>
      <c r="O23" s="49"/>
      <c r="P23" s="12"/>
      <c r="Q23" s="12"/>
      <c r="R23" s="12"/>
      <c r="S23" s="12"/>
      <c r="T23" s="12"/>
      <c r="U23" s="50"/>
      <c r="V23" s="12" t="str">
        <f t="shared" si="3"/>
        <v xml:space="preserve">    ,</v>
      </c>
    </row>
    <row r="24" spans="1:22" ht="15.75" customHeight="1" thickBot="1" x14ac:dyDescent="0.25">
      <c r="A24" s="94" t="s">
        <v>22</v>
      </c>
      <c r="B24" s="95"/>
      <c r="C24" s="51"/>
      <c r="D24" s="52"/>
      <c r="E24" s="52"/>
      <c r="F24" s="52"/>
      <c r="G24" s="52"/>
      <c r="H24" s="52"/>
      <c r="I24" s="53"/>
      <c r="J24" s="34" cm="1">
        <f t="array" ref="J24">-SUMPRODUCT((D1:H1-C1:G1)*(C24:G24+D24:H24)/2)</f>
        <v>0</v>
      </c>
      <c r="K24" s="34" cm="1">
        <f t="array" ref="K24">-SUMPRODUCT((D1:I1-C1:H1)*(C24:H24+D24:I24)/2)</f>
        <v>0</v>
      </c>
      <c r="L24" s="12"/>
      <c r="M24" s="94" t="s">
        <v>22</v>
      </c>
      <c r="N24" s="95"/>
      <c r="O24" s="51"/>
      <c r="P24" s="52"/>
      <c r="Q24" s="52"/>
      <c r="R24" s="52"/>
      <c r="S24" s="52"/>
      <c r="T24" s="52"/>
      <c r="U24" s="53"/>
      <c r="V24" s="12"/>
    </row>
    <row r="25" spans="1:22" ht="15.75" customHeight="1" thickBot="1" x14ac:dyDescent="0.25">
      <c r="A25" s="94" t="s">
        <v>24</v>
      </c>
      <c r="B25" s="96"/>
      <c r="C25" s="100"/>
      <c r="D25" s="100"/>
      <c r="E25" s="100"/>
      <c r="F25" s="100"/>
      <c r="G25" s="100"/>
      <c r="H25" s="100"/>
      <c r="I25" s="108"/>
      <c r="J25" s="34"/>
      <c r="K25" s="34"/>
      <c r="L25" s="12"/>
      <c r="M25" s="94" t="s">
        <v>23</v>
      </c>
      <c r="N25" s="96"/>
      <c r="O25" s="100"/>
      <c r="P25" s="100"/>
      <c r="Q25" s="100"/>
      <c r="R25" s="100"/>
      <c r="S25" s="100"/>
      <c r="T25" s="100"/>
      <c r="U25" s="108"/>
      <c r="V25" s="12"/>
    </row>
    <row r="26" spans="1:22" ht="15.75" customHeight="1" thickBot="1" x14ac:dyDescent="0.25">
      <c r="A26" s="94" t="s">
        <v>7</v>
      </c>
      <c r="B26" s="95"/>
      <c r="C26"/>
      <c r="D26"/>
      <c r="E26"/>
      <c r="F26"/>
      <c r="G26"/>
      <c r="H26"/>
      <c r="I26"/>
      <c r="J26" s="34" cm="1">
        <f t="array" ref="J26">-SUMPRODUCT((D1:H1-C1:G1)*(C26:G26+D26:H26)/2)</f>
        <v>0</v>
      </c>
      <c r="K26" s="34" cm="1">
        <f t="array" ref="K26">-SUMPRODUCT((D1:I1-C1:H1)*(C26:H26+D26:I26)/2)</f>
        <v>0</v>
      </c>
      <c r="L26" s="12" t="str">
        <f t="shared" ref="L26:L28" si="4">"    "&amp;_xlfn.TEXTJOIN(", ",TRUE,C26:I26)&amp;","</f>
        <v xml:space="preserve">    ,</v>
      </c>
      <c r="M26" s="94" t="s">
        <v>7</v>
      </c>
      <c r="N26" s="95"/>
      <c r="O26"/>
      <c r="P26"/>
      <c r="Q26"/>
      <c r="R26"/>
      <c r="S26"/>
      <c r="T26"/>
      <c r="U26"/>
      <c r="V26" s="12" t="str">
        <f t="shared" ref="V26:V28" si="5">"    "&amp;_xlfn.TEXTJOIN(", ",TRUE,O26:U26)&amp;","</f>
        <v xml:space="preserve">    ,</v>
      </c>
    </row>
    <row r="27" spans="1:22" ht="15.75" customHeight="1" thickBot="1" x14ac:dyDescent="0.25">
      <c r="A27" s="98" t="s">
        <v>8</v>
      </c>
      <c r="B27" s="99"/>
      <c r="C27"/>
      <c r="D27"/>
      <c r="E27"/>
      <c r="F27"/>
      <c r="G27"/>
      <c r="H27"/>
      <c r="I27"/>
      <c r="J27" s="34" cm="1">
        <f t="array" ref="J27">-SUMPRODUCT((D1:H1-C1:G1)*(C27:G27+D27:H27)/2)</f>
        <v>0</v>
      </c>
      <c r="K27" s="34" cm="1">
        <f t="array" ref="K27">-SUMPRODUCT((D1:I1-C1:H1)*(C27:H27+D27:I27)/2)</f>
        <v>0</v>
      </c>
      <c r="L27" s="12" t="str">
        <f t="shared" si="4"/>
        <v xml:space="preserve">    ,</v>
      </c>
      <c r="M27" s="94" t="s">
        <v>8</v>
      </c>
      <c r="N27" s="95"/>
      <c r="O27"/>
      <c r="P27"/>
      <c r="Q27"/>
      <c r="R27"/>
      <c r="S27"/>
      <c r="T27"/>
      <c r="U27"/>
      <c r="V27" s="12" t="str">
        <f t="shared" si="5"/>
        <v xml:space="preserve">    ,</v>
      </c>
    </row>
    <row r="28" spans="1:22" ht="15.75" customHeight="1" thickBot="1" x14ac:dyDescent="0.25">
      <c r="A28" s="94" t="s">
        <v>21</v>
      </c>
      <c r="B28" s="95"/>
      <c r="C28"/>
      <c r="D28"/>
      <c r="E28"/>
      <c r="F28"/>
      <c r="G28"/>
      <c r="H28"/>
      <c r="I28"/>
      <c r="J28" s="34" cm="1">
        <f t="array" ref="J28">-SUMPRODUCT((D1:H1-C1:G1)*(C28:G28+D28:H28)/2)</f>
        <v>0</v>
      </c>
      <c r="K28" s="34" cm="1">
        <f t="array" ref="K28">-SUMPRODUCT((D1:I1-C1:H1)*(C28:H28+D28:I28)/2)</f>
        <v>0</v>
      </c>
      <c r="L28" s="12" t="str">
        <f t="shared" si="4"/>
        <v xml:space="preserve">    ,</v>
      </c>
      <c r="M28" s="94" t="s">
        <v>21</v>
      </c>
      <c r="N28" s="95"/>
      <c r="O28"/>
      <c r="P28"/>
      <c r="Q28"/>
      <c r="R28"/>
      <c r="S28"/>
      <c r="T28"/>
      <c r="U28"/>
      <c r="V28" s="12" t="str">
        <f t="shared" si="5"/>
        <v xml:space="preserve">    ,</v>
      </c>
    </row>
    <row r="29" spans="1:22" ht="15.75" customHeight="1" thickBot="1" x14ac:dyDescent="0.25">
      <c r="A29" s="94" t="s">
        <v>22</v>
      </c>
      <c r="B29" s="95"/>
      <c r="C29"/>
      <c r="D29"/>
      <c r="E29"/>
      <c r="F29"/>
      <c r="G29"/>
      <c r="H29"/>
      <c r="I29"/>
      <c r="J29" s="34" cm="1">
        <f t="array" ref="J29">-SUMPRODUCT((D1:H1-C1:G1)*(C29:G29+D29:H29)/2)</f>
        <v>0</v>
      </c>
      <c r="K29" s="34" cm="1">
        <f t="array" ref="K29">-SUMPRODUCT((D1:I1-C1:H1)*(C29:H29+D29:I29)/2)</f>
        <v>0</v>
      </c>
      <c r="L29" s="12"/>
      <c r="M29" s="94" t="s">
        <v>22</v>
      </c>
      <c r="N29" s="95"/>
      <c r="O29" s="89"/>
      <c r="P29" s="90"/>
      <c r="Q29" s="90"/>
      <c r="R29" s="90"/>
      <c r="S29" s="90"/>
      <c r="T29" s="90"/>
      <c r="U29" s="91"/>
      <c r="V29" s="12"/>
    </row>
    <row r="30" spans="1:22" ht="15" thickBot="1" x14ac:dyDescent="0.25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M30" s="25"/>
      <c r="N30" s="25"/>
      <c r="O30" s="25"/>
      <c r="P30" s="25"/>
      <c r="Q30" s="25"/>
      <c r="R30" s="25"/>
      <c r="S30" s="25"/>
      <c r="T30" s="25"/>
      <c r="U30" s="25"/>
    </row>
    <row r="31" spans="1:22" ht="15.75" thickBot="1" x14ac:dyDescent="0.25">
      <c r="A31" s="4" t="s">
        <v>3</v>
      </c>
      <c r="B31" s="5" t="s">
        <v>1</v>
      </c>
      <c r="C31" s="15">
        <v>1</v>
      </c>
      <c r="D31" s="15">
        <v>0.75</v>
      </c>
      <c r="E31" s="15">
        <v>0.5</v>
      </c>
      <c r="F31" s="15">
        <v>0.3</v>
      </c>
      <c r="G31" s="15">
        <v>0.2</v>
      </c>
      <c r="H31" s="15">
        <v>0.1</v>
      </c>
      <c r="I31" s="5">
        <v>0.05</v>
      </c>
      <c r="J31" s="19"/>
      <c r="K31" s="19"/>
      <c r="L31" s="1"/>
      <c r="M31" s="4" t="s">
        <v>4</v>
      </c>
      <c r="N31" s="5" t="s">
        <v>1</v>
      </c>
      <c r="O31" s="16">
        <v>1</v>
      </c>
      <c r="P31" s="16">
        <v>0.75</v>
      </c>
      <c r="Q31" s="16">
        <v>0.5</v>
      </c>
      <c r="R31" s="16">
        <v>0.3</v>
      </c>
      <c r="S31" s="16">
        <v>0.2</v>
      </c>
      <c r="T31" s="16">
        <v>0.1</v>
      </c>
      <c r="U31" s="2">
        <v>0.05</v>
      </c>
      <c r="V31" s="1"/>
    </row>
    <row r="32" spans="1:22" ht="15.75" thickBot="1" x14ac:dyDescent="0.25">
      <c r="A32" s="101" t="s">
        <v>5</v>
      </c>
      <c r="B32" s="102"/>
      <c r="C32" s="38"/>
      <c r="D32" s="38"/>
      <c r="E32" s="38"/>
      <c r="F32" s="38"/>
      <c r="G32" s="38"/>
      <c r="H32" s="38"/>
      <c r="I32" s="39"/>
      <c r="J32" s="40"/>
      <c r="K32" s="40"/>
      <c r="L32" s="1" t="str">
        <f>"    "&amp;_xlfn.TEXTJOIN(", ",TRUE,C32:I32)&amp;","</f>
        <v xml:space="preserve">    ,</v>
      </c>
      <c r="M32" s="101" t="s">
        <v>5</v>
      </c>
      <c r="N32" s="102"/>
      <c r="O32" s="37"/>
      <c r="P32" s="38"/>
      <c r="Q32" s="38"/>
      <c r="R32" s="38"/>
      <c r="S32" s="38"/>
      <c r="T32" s="38"/>
      <c r="U32" s="39"/>
      <c r="V32" s="1" t="str">
        <f>"    "&amp;_xlfn.TEXTJOIN(", ",TRUE,O32:U32)&amp;","</f>
        <v xml:space="preserve">    ,</v>
      </c>
    </row>
    <row r="33" spans="1:22" ht="15.75" thickBot="1" x14ac:dyDescent="0.25">
      <c r="A33" s="101" t="s">
        <v>6</v>
      </c>
      <c r="B33" s="102"/>
      <c r="C33" s="38"/>
      <c r="D33" s="38"/>
      <c r="E33" s="38"/>
      <c r="F33" s="38"/>
      <c r="G33" s="38"/>
      <c r="H33" s="38"/>
      <c r="I33" s="39"/>
      <c r="J33" s="40"/>
      <c r="K33" s="40"/>
      <c r="L33" s="1" t="str">
        <f>"    "&amp;_xlfn.TEXTJOIN(", ",TRUE,C33:I33)&amp;","</f>
        <v xml:space="preserve">    ,</v>
      </c>
      <c r="M33" s="101" t="s">
        <v>6</v>
      </c>
      <c r="N33" s="102"/>
      <c r="O33" s="38"/>
      <c r="P33" s="38"/>
      <c r="Q33" s="38"/>
      <c r="R33" s="38"/>
      <c r="S33" s="38"/>
      <c r="T33" s="38"/>
      <c r="U33" s="39"/>
      <c r="V33" s="1" t="str">
        <f t="shared" ref="V33:V48" si="6">"    "&amp;_xlfn.TEXTJOIN(", ",TRUE,O33:U33)&amp;","</f>
        <v xml:space="preserve">    ,</v>
      </c>
    </row>
    <row r="34" spans="1:22" ht="15.75" thickBot="1" x14ac:dyDescent="0.25">
      <c r="A34" s="101" t="s">
        <v>10</v>
      </c>
      <c r="B34" s="102"/>
      <c r="C34" s="28"/>
      <c r="D34" s="29"/>
      <c r="E34" s="29"/>
      <c r="F34" s="29"/>
      <c r="G34" s="29"/>
      <c r="H34" s="29"/>
      <c r="I34" s="30"/>
      <c r="J34" s="40"/>
      <c r="K34" s="40"/>
      <c r="L34" s="1" t="str">
        <f t="shared" ref="L34:L43" si="7">"    "&amp;_xlfn.TEXTJOIN(", ",TRUE,C34:I34)&amp;","</f>
        <v xml:space="preserve">    ,</v>
      </c>
      <c r="M34" s="101" t="s">
        <v>10</v>
      </c>
      <c r="N34" s="102"/>
      <c r="O34" s="28"/>
      <c r="P34" s="29"/>
      <c r="Q34" s="29"/>
      <c r="R34" s="29"/>
      <c r="S34" s="29"/>
      <c r="T34" s="29"/>
      <c r="U34" s="30"/>
      <c r="V34" s="1" t="str">
        <f t="shared" si="6"/>
        <v xml:space="preserve">    ,</v>
      </c>
    </row>
    <row r="35" spans="1:22" ht="15.75" thickBot="1" x14ac:dyDescent="0.25">
      <c r="A35" s="101" t="s">
        <v>12</v>
      </c>
      <c r="B35" s="103"/>
      <c r="C35" s="103"/>
      <c r="D35" s="103"/>
      <c r="E35" s="103"/>
      <c r="F35" s="103"/>
      <c r="G35" s="103"/>
      <c r="H35" s="103"/>
      <c r="I35" s="102"/>
      <c r="J35" s="40"/>
      <c r="K35" s="40"/>
      <c r="L35" s="1"/>
      <c r="M35" s="101" t="s">
        <v>12</v>
      </c>
      <c r="N35" s="103"/>
      <c r="O35" s="103"/>
      <c r="P35" s="103"/>
      <c r="Q35" s="103"/>
      <c r="R35" s="103"/>
      <c r="S35" s="103"/>
      <c r="T35" s="103"/>
      <c r="U35" s="102"/>
      <c r="V35" s="1"/>
    </row>
    <row r="36" spans="1:22" ht="15.75" thickBot="1" x14ac:dyDescent="0.25">
      <c r="A36" s="106" t="s">
        <v>11</v>
      </c>
      <c r="B36" s="9" t="s">
        <v>13</v>
      </c>
      <c r="C36" s="59"/>
      <c r="D36" s="60"/>
      <c r="E36" s="60"/>
      <c r="F36" s="60"/>
      <c r="G36" s="60"/>
      <c r="H36" s="60"/>
      <c r="I36" s="61"/>
      <c r="J36" s="40"/>
      <c r="K36" s="40"/>
      <c r="L36" s="1" t="str">
        <f t="shared" si="7"/>
        <v xml:space="preserve">    ,</v>
      </c>
      <c r="M36" s="106" t="s">
        <v>11</v>
      </c>
      <c r="N36" s="9" t="s">
        <v>13</v>
      </c>
      <c r="O36" s="59"/>
      <c r="P36" s="60"/>
      <c r="Q36" s="60"/>
      <c r="R36" s="60"/>
      <c r="S36" s="60"/>
      <c r="T36" s="60"/>
      <c r="U36" s="61"/>
      <c r="V36" s="1" t="str">
        <f t="shared" si="6"/>
        <v xml:space="preserve">    ,</v>
      </c>
    </row>
    <row r="37" spans="1:22" ht="15.75" thickBot="1" x14ac:dyDescent="0.25">
      <c r="A37" s="112"/>
      <c r="B37" s="9" t="s">
        <v>14</v>
      </c>
      <c r="C37" s="59"/>
      <c r="D37" s="60"/>
      <c r="E37" s="60"/>
      <c r="F37" s="60"/>
      <c r="G37" s="60"/>
      <c r="H37" s="60"/>
      <c r="I37" s="61"/>
      <c r="J37" s="40"/>
      <c r="K37" s="40"/>
      <c r="L37" s="1" t="str">
        <f t="shared" si="7"/>
        <v xml:space="preserve">    ,</v>
      </c>
      <c r="M37" s="112"/>
      <c r="N37" s="9" t="s">
        <v>14</v>
      </c>
      <c r="O37" s="59"/>
      <c r="P37" s="60"/>
      <c r="Q37" s="60"/>
      <c r="R37" s="60"/>
      <c r="S37" s="60"/>
      <c r="T37" s="60"/>
      <c r="U37" s="61"/>
      <c r="V37" s="1" t="str">
        <f t="shared" si="6"/>
        <v xml:space="preserve">    ,</v>
      </c>
    </row>
    <row r="38" spans="1:22" ht="15.75" thickBot="1" x14ac:dyDescent="0.25">
      <c r="A38" s="112"/>
      <c r="B38" s="9" t="s">
        <v>17</v>
      </c>
      <c r="C38" s="59"/>
      <c r="D38" s="60"/>
      <c r="E38" s="60"/>
      <c r="F38" s="60"/>
      <c r="G38" s="60"/>
      <c r="H38" s="60"/>
      <c r="I38" s="61"/>
      <c r="J38" s="40"/>
      <c r="K38" s="40"/>
      <c r="L38" s="1"/>
      <c r="M38" s="112"/>
      <c r="N38" s="9" t="s">
        <v>17</v>
      </c>
      <c r="O38" s="59"/>
      <c r="P38" s="60"/>
      <c r="Q38" s="60"/>
      <c r="R38" s="60"/>
      <c r="S38" s="60"/>
      <c r="T38" s="60"/>
      <c r="U38" s="61"/>
      <c r="V38" s="1"/>
    </row>
    <row r="39" spans="1:22" ht="15.75" thickBot="1" x14ac:dyDescent="0.25">
      <c r="A39" s="112"/>
      <c r="B39" s="9" t="s">
        <v>18</v>
      </c>
      <c r="C39" s="59"/>
      <c r="D39" s="60"/>
      <c r="E39" s="60"/>
      <c r="F39" s="60"/>
      <c r="G39" s="60"/>
      <c r="H39" s="60"/>
      <c r="I39" s="61"/>
      <c r="J39" s="40"/>
      <c r="K39" s="40"/>
      <c r="L39" s="1"/>
      <c r="M39" s="112"/>
      <c r="N39" s="9" t="s">
        <v>18</v>
      </c>
      <c r="O39" s="59"/>
      <c r="P39" s="60"/>
      <c r="Q39" s="60"/>
      <c r="R39" s="60"/>
      <c r="S39" s="60"/>
      <c r="T39" s="60"/>
      <c r="U39" s="61"/>
      <c r="V39" s="1"/>
    </row>
    <row r="40" spans="1:22" ht="15.75" thickBot="1" x14ac:dyDescent="0.25">
      <c r="A40" s="112"/>
      <c r="B40" s="9" t="s">
        <v>15</v>
      </c>
      <c r="C40" s="59"/>
      <c r="D40" s="60"/>
      <c r="E40" s="60"/>
      <c r="F40" s="60"/>
      <c r="G40" s="60"/>
      <c r="H40" s="60"/>
      <c r="I40" s="61"/>
      <c r="J40" s="40"/>
      <c r="K40" s="40"/>
      <c r="L40" s="1" t="str">
        <f t="shared" si="7"/>
        <v xml:space="preserve">    ,</v>
      </c>
      <c r="M40" s="112"/>
      <c r="N40" s="9" t="s">
        <v>15</v>
      </c>
      <c r="O40" s="59"/>
      <c r="P40" s="60"/>
      <c r="Q40" s="60"/>
      <c r="R40" s="60"/>
      <c r="S40" s="60"/>
      <c r="T40" s="60"/>
      <c r="U40" s="61"/>
      <c r="V40" s="1"/>
    </row>
    <row r="41" spans="1:22" ht="15.75" thickBot="1" x14ac:dyDescent="0.25">
      <c r="A41" s="112"/>
      <c r="B41" s="9" t="s">
        <v>25</v>
      </c>
      <c r="C41" s="65"/>
      <c r="D41" s="66"/>
      <c r="E41" s="66"/>
      <c r="F41" s="66"/>
      <c r="G41" s="66"/>
      <c r="H41" s="66"/>
      <c r="I41" s="67"/>
      <c r="J41" s="40"/>
      <c r="K41" s="40"/>
      <c r="L41" s="1"/>
      <c r="M41" s="112"/>
      <c r="N41" s="9" t="s">
        <v>25</v>
      </c>
      <c r="O41" s="65"/>
      <c r="P41" s="66"/>
      <c r="Q41" s="66"/>
      <c r="R41" s="66"/>
      <c r="S41" s="66"/>
      <c r="T41" s="66"/>
      <c r="U41" s="67"/>
      <c r="V41" s="1"/>
    </row>
    <row r="42" spans="1:22" ht="15.75" thickBot="1" x14ac:dyDescent="0.25">
      <c r="A42" s="112"/>
      <c r="B42" s="9" t="s">
        <v>19</v>
      </c>
      <c r="C42" s="59"/>
      <c r="D42" s="60"/>
      <c r="E42" s="60"/>
      <c r="F42" s="60"/>
      <c r="G42" s="60"/>
      <c r="H42" s="60"/>
      <c r="I42" s="61"/>
      <c r="J42" s="40"/>
      <c r="K42" s="40"/>
      <c r="L42" s="1"/>
      <c r="M42" s="112"/>
      <c r="N42" s="9" t="s">
        <v>19</v>
      </c>
      <c r="O42" s="59"/>
      <c r="P42" s="60"/>
      <c r="Q42" s="60"/>
      <c r="R42" s="60"/>
      <c r="S42" s="60"/>
      <c r="T42" s="60"/>
      <c r="U42" s="61"/>
      <c r="V42" s="1"/>
    </row>
    <row r="43" spans="1:22" ht="15.75" thickBot="1" x14ac:dyDescent="0.25">
      <c r="A43" s="112"/>
      <c r="B43" s="9" t="s">
        <v>16</v>
      </c>
      <c r="C43" s="59"/>
      <c r="D43" s="60"/>
      <c r="E43" s="60"/>
      <c r="F43" s="60"/>
      <c r="G43" s="60"/>
      <c r="H43" s="60"/>
      <c r="I43" s="61"/>
      <c r="J43" s="40"/>
      <c r="K43" s="40"/>
      <c r="L43" s="1" t="str">
        <f t="shared" si="7"/>
        <v xml:space="preserve">    ,</v>
      </c>
      <c r="M43" s="112"/>
      <c r="N43" s="9" t="s">
        <v>16</v>
      </c>
      <c r="O43" s="59"/>
      <c r="P43" s="60"/>
      <c r="Q43" s="60"/>
      <c r="R43" s="60"/>
      <c r="S43" s="60"/>
      <c r="T43" s="60"/>
      <c r="U43" s="61"/>
      <c r="V43" s="1"/>
    </row>
    <row r="44" spans="1:22" ht="15.75" thickBot="1" x14ac:dyDescent="0.25">
      <c r="A44" s="113"/>
      <c r="B44" s="9" t="s">
        <v>26</v>
      </c>
      <c r="C44" s="65"/>
      <c r="D44" s="66"/>
      <c r="E44" s="66"/>
      <c r="F44" s="66"/>
      <c r="G44" s="66"/>
      <c r="H44" s="66"/>
      <c r="I44" s="67"/>
      <c r="J44" s="40"/>
      <c r="K44" s="40"/>
      <c r="L44" s="1"/>
      <c r="M44" s="113"/>
      <c r="N44" s="9" t="s">
        <v>26</v>
      </c>
      <c r="O44" s="65"/>
      <c r="P44" s="66"/>
      <c r="Q44" s="66"/>
      <c r="R44" s="66"/>
      <c r="S44" s="66"/>
      <c r="T44" s="66"/>
      <c r="U44" s="67"/>
      <c r="V44" s="1"/>
    </row>
    <row r="45" spans="1:22" ht="15.75" thickBot="1" x14ac:dyDescent="0.25">
      <c r="A45" s="101" t="s">
        <v>20</v>
      </c>
      <c r="B45" s="103"/>
      <c r="C45" s="105"/>
      <c r="D45" s="105"/>
      <c r="E45" s="105"/>
      <c r="F45" s="105"/>
      <c r="G45" s="105"/>
      <c r="H45" s="105"/>
      <c r="I45" s="109"/>
      <c r="J45" s="40"/>
      <c r="K45" s="40"/>
      <c r="L45" s="1"/>
      <c r="M45" s="101" t="s">
        <v>20</v>
      </c>
      <c r="N45" s="103"/>
      <c r="O45" s="105"/>
      <c r="P45" s="105"/>
      <c r="Q45" s="105"/>
      <c r="R45" s="105"/>
      <c r="S45" s="105"/>
      <c r="T45" s="105"/>
      <c r="U45" s="109"/>
      <c r="V45" s="1"/>
    </row>
    <row r="46" spans="1:22" ht="14.25" customHeight="1" thickBot="1" x14ac:dyDescent="0.25">
      <c r="A46" s="101" t="s">
        <v>7</v>
      </c>
      <c r="B46" s="102"/>
      <c r="C46" s="54"/>
      <c r="D46" s="55"/>
      <c r="E46" s="55"/>
      <c r="F46" s="55"/>
      <c r="G46" s="55"/>
      <c r="H46" s="55"/>
      <c r="I46" s="56"/>
      <c r="J46" s="40"/>
      <c r="K46" s="40"/>
      <c r="L46" s="1" t="str">
        <f t="shared" ref="L46:L48" si="8">"    "&amp;_xlfn.TEXTJOIN(", ",TRUE,C46:I46)&amp;","</f>
        <v xml:space="preserve">    ,</v>
      </c>
      <c r="M46" s="101" t="s">
        <v>7</v>
      </c>
      <c r="N46" s="102"/>
      <c r="O46" s="54"/>
      <c r="P46" s="55"/>
      <c r="Q46" s="55"/>
      <c r="R46" s="55"/>
      <c r="S46" s="55"/>
      <c r="T46" s="55"/>
      <c r="U46" s="56"/>
      <c r="V46" s="1" t="str">
        <f t="shared" si="6"/>
        <v xml:space="preserve">    ,</v>
      </c>
    </row>
    <row r="47" spans="1:22" ht="15.75" thickBot="1" x14ac:dyDescent="0.25">
      <c r="A47" s="101" t="s">
        <v>8</v>
      </c>
      <c r="B47" s="102"/>
      <c r="C47" s="57"/>
      <c r="D47" s="1"/>
      <c r="E47" s="1"/>
      <c r="F47" s="1"/>
      <c r="G47" s="1"/>
      <c r="H47" s="1"/>
      <c r="I47" s="58"/>
      <c r="J47" s="40"/>
      <c r="K47" s="40"/>
      <c r="L47" s="1" t="str">
        <f t="shared" si="8"/>
        <v xml:space="preserve">    ,</v>
      </c>
      <c r="M47" s="101" t="s">
        <v>8</v>
      </c>
      <c r="N47" s="102"/>
      <c r="O47" s="57"/>
      <c r="P47" s="1"/>
      <c r="Q47" s="1"/>
      <c r="R47" s="1"/>
      <c r="S47" s="1"/>
      <c r="T47" s="1"/>
      <c r="U47" s="58"/>
      <c r="V47" s="1" t="str">
        <f t="shared" si="6"/>
        <v xml:space="preserve">    ,</v>
      </c>
    </row>
    <row r="48" spans="1:22" ht="15.75" thickBot="1" x14ac:dyDescent="0.25">
      <c r="A48" s="101" t="s">
        <v>21</v>
      </c>
      <c r="B48" s="102"/>
      <c r="C48" s="57"/>
      <c r="D48" s="1"/>
      <c r="E48" s="1"/>
      <c r="F48" s="1"/>
      <c r="G48" s="1"/>
      <c r="H48" s="1"/>
      <c r="I48" s="58"/>
      <c r="J48" s="40"/>
      <c r="K48" s="40"/>
      <c r="L48" s="1" t="str">
        <f t="shared" si="8"/>
        <v xml:space="preserve">    ,</v>
      </c>
      <c r="M48" s="101" t="s">
        <v>21</v>
      </c>
      <c r="N48" s="102"/>
      <c r="O48" s="57"/>
      <c r="P48" s="1"/>
      <c r="Q48" s="1"/>
      <c r="R48" s="1"/>
      <c r="S48" s="1"/>
      <c r="T48" s="1"/>
      <c r="U48" s="58"/>
      <c r="V48" s="1" t="str">
        <f t="shared" si="6"/>
        <v xml:space="preserve">    ,</v>
      </c>
    </row>
    <row r="49" spans="1:22" ht="15.75" thickBot="1" x14ac:dyDescent="0.25">
      <c r="A49" s="101" t="s">
        <v>22</v>
      </c>
      <c r="B49" s="102"/>
      <c r="C49" s="59"/>
      <c r="D49" s="60"/>
      <c r="E49" s="60"/>
      <c r="F49" s="60"/>
      <c r="G49" s="60"/>
      <c r="H49" s="60"/>
      <c r="I49" s="61"/>
      <c r="J49" s="45"/>
      <c r="K49" s="45"/>
      <c r="L49" s="44"/>
      <c r="M49" s="101" t="s">
        <v>22</v>
      </c>
      <c r="N49" s="102"/>
      <c r="O49" s="59"/>
      <c r="P49" s="60"/>
      <c r="Q49" s="60"/>
      <c r="R49" s="60"/>
      <c r="S49" s="60"/>
      <c r="T49" s="60"/>
      <c r="U49" s="61"/>
      <c r="V49" s="1"/>
    </row>
    <row r="50" spans="1:22" ht="15.75" customHeight="1" thickBot="1" x14ac:dyDescent="0.25">
      <c r="A50" s="101" t="s">
        <v>23</v>
      </c>
      <c r="B50" s="103"/>
      <c r="C50" s="105"/>
      <c r="D50" s="105"/>
      <c r="E50" s="105"/>
      <c r="F50" s="105"/>
      <c r="G50" s="105"/>
      <c r="H50" s="105"/>
      <c r="I50" s="109"/>
      <c r="J50" s="40"/>
      <c r="K50" s="40"/>
      <c r="L50" s="1"/>
      <c r="M50" s="101" t="s">
        <v>23</v>
      </c>
      <c r="N50" s="103"/>
      <c r="O50" s="105"/>
      <c r="P50" s="105"/>
      <c r="Q50" s="105"/>
      <c r="R50" s="105"/>
      <c r="S50" s="105"/>
      <c r="T50" s="105"/>
      <c r="U50" s="109"/>
      <c r="V50" s="1"/>
    </row>
    <row r="51" spans="1:22" ht="15.75" customHeight="1" thickBot="1" x14ac:dyDescent="0.25">
      <c r="A51" s="101" t="s">
        <v>7</v>
      </c>
      <c r="B51" s="102"/>
      <c r="C51" s="54"/>
      <c r="D51" s="55"/>
      <c r="E51" s="55"/>
      <c r="F51" s="55"/>
      <c r="G51" s="55"/>
      <c r="H51" s="55"/>
      <c r="I51" s="56"/>
      <c r="J51" s="40"/>
      <c r="K51" s="40"/>
      <c r="L51" s="1" t="str">
        <f t="shared" ref="L51:L53" si="9">"    "&amp;_xlfn.TEXTJOIN(", ",TRUE,C51:I51)&amp;","</f>
        <v xml:space="preserve">    ,</v>
      </c>
      <c r="M51" s="101" t="s">
        <v>7</v>
      </c>
      <c r="N51" s="102"/>
      <c r="O51" s="54"/>
      <c r="P51" s="55"/>
      <c r="Q51" s="55"/>
      <c r="R51" s="55"/>
      <c r="S51" s="55"/>
      <c r="T51" s="55"/>
      <c r="U51" s="56"/>
      <c r="V51" s="1" t="str">
        <f t="shared" ref="V51:V53" si="10">"    "&amp;_xlfn.TEXTJOIN(", ",TRUE,O51:U51)&amp;","</f>
        <v xml:space="preserve">    ,</v>
      </c>
    </row>
    <row r="52" spans="1:22" ht="15.75" customHeight="1" thickBot="1" x14ac:dyDescent="0.25">
      <c r="A52" s="106" t="s">
        <v>8</v>
      </c>
      <c r="B52" s="107"/>
      <c r="C52" s="57"/>
      <c r="D52" s="1"/>
      <c r="E52" s="1"/>
      <c r="F52" s="1"/>
      <c r="G52" s="1"/>
      <c r="H52" s="1"/>
      <c r="I52" s="58"/>
      <c r="J52" s="40"/>
      <c r="K52" s="40"/>
      <c r="L52" s="1" t="str">
        <f t="shared" si="9"/>
        <v xml:space="preserve">    ,</v>
      </c>
      <c r="M52" s="101" t="s">
        <v>8</v>
      </c>
      <c r="N52" s="102"/>
      <c r="O52" s="57"/>
      <c r="P52" s="1"/>
      <c r="Q52" s="1"/>
      <c r="R52" s="1"/>
      <c r="S52" s="1"/>
      <c r="T52" s="1"/>
      <c r="U52" s="58"/>
      <c r="V52" s="1" t="str">
        <f t="shared" si="10"/>
        <v xml:space="preserve">    ,</v>
      </c>
    </row>
    <row r="53" spans="1:22" ht="15.75" customHeight="1" thickBot="1" x14ac:dyDescent="0.25">
      <c r="A53" s="101" t="s">
        <v>21</v>
      </c>
      <c r="B53" s="102"/>
      <c r="C53" s="57"/>
      <c r="D53" s="1"/>
      <c r="E53" s="1"/>
      <c r="F53" s="1"/>
      <c r="G53" s="1"/>
      <c r="H53" s="1"/>
      <c r="I53" s="58"/>
      <c r="J53" s="40"/>
      <c r="K53" s="40"/>
      <c r="L53" s="1" t="str">
        <f t="shared" si="9"/>
        <v xml:space="preserve">    ,</v>
      </c>
      <c r="M53" s="101" t="s">
        <v>21</v>
      </c>
      <c r="N53" s="102"/>
      <c r="O53" s="57"/>
      <c r="P53" s="1"/>
      <c r="Q53" s="1"/>
      <c r="R53" s="1"/>
      <c r="S53" s="1"/>
      <c r="T53" s="1"/>
      <c r="U53" s="58"/>
      <c r="V53" s="1" t="str">
        <f t="shared" si="10"/>
        <v xml:space="preserve">    ,</v>
      </c>
    </row>
    <row r="54" spans="1:22" ht="15.75" customHeight="1" thickBot="1" x14ac:dyDescent="0.25">
      <c r="A54" s="101" t="s">
        <v>22</v>
      </c>
      <c r="B54" s="102"/>
      <c r="C54" s="59"/>
      <c r="D54" s="60"/>
      <c r="E54" s="60"/>
      <c r="F54" s="60"/>
      <c r="G54" s="60"/>
      <c r="H54" s="60"/>
      <c r="I54" s="61"/>
      <c r="J54" s="40"/>
      <c r="K54" s="40"/>
      <c r="L54" s="1"/>
      <c r="M54" s="101" t="s">
        <v>22</v>
      </c>
      <c r="N54" s="102"/>
      <c r="O54" s="59"/>
      <c r="P54" s="60"/>
      <c r="Q54" s="60"/>
      <c r="R54" s="60"/>
      <c r="S54" s="60"/>
      <c r="T54" s="60"/>
      <c r="U54" s="61"/>
      <c r="V54" s="1"/>
    </row>
    <row r="55" spans="1:22" ht="15.75" customHeight="1" thickBot="1" x14ac:dyDescent="0.25">
      <c r="A55" s="101" t="s">
        <v>24</v>
      </c>
      <c r="B55" s="103"/>
      <c r="C55" s="105"/>
      <c r="D55" s="105"/>
      <c r="E55" s="105"/>
      <c r="F55" s="105"/>
      <c r="G55" s="105"/>
      <c r="H55" s="105"/>
      <c r="I55" s="109"/>
      <c r="J55" s="40"/>
      <c r="K55" s="40"/>
      <c r="L55" s="1"/>
      <c r="M55" s="101" t="s">
        <v>23</v>
      </c>
      <c r="N55" s="103"/>
      <c r="O55" s="105"/>
      <c r="P55" s="105"/>
      <c r="Q55" s="105"/>
      <c r="R55" s="105"/>
      <c r="S55" s="105"/>
      <c r="T55" s="105"/>
      <c r="U55" s="109"/>
      <c r="V55" s="1"/>
    </row>
    <row r="56" spans="1:22" ht="15.75" customHeight="1" thickBot="1" x14ac:dyDescent="0.25">
      <c r="A56" s="101" t="s">
        <v>7</v>
      </c>
      <c r="B56" s="102"/>
      <c r="C56"/>
      <c r="D56"/>
      <c r="E56"/>
      <c r="F56"/>
      <c r="G56"/>
      <c r="H56"/>
      <c r="I56"/>
      <c r="J56" s="40"/>
      <c r="K56" s="40"/>
      <c r="L56" s="1" t="str">
        <f t="shared" ref="L56:L58" si="11">"    "&amp;_xlfn.TEXTJOIN(", ",TRUE,C56:I56)&amp;","</f>
        <v xml:space="preserve">    ,</v>
      </c>
      <c r="M56" s="101" t="s">
        <v>7</v>
      </c>
      <c r="N56" s="102"/>
      <c r="O56"/>
      <c r="P56"/>
      <c r="Q56"/>
      <c r="R56"/>
      <c r="S56"/>
      <c r="T56"/>
      <c r="U56"/>
      <c r="V56" s="1" t="str">
        <f t="shared" ref="V56:V58" si="12">"    "&amp;_xlfn.TEXTJOIN(", ",TRUE,O56:U56)&amp;","</f>
        <v xml:space="preserve">    ,</v>
      </c>
    </row>
    <row r="57" spans="1:22" ht="15.75" customHeight="1" thickBot="1" x14ac:dyDescent="0.25">
      <c r="A57" s="106" t="s">
        <v>8</v>
      </c>
      <c r="B57" s="107"/>
      <c r="C57"/>
      <c r="D57"/>
      <c r="E57"/>
      <c r="F57"/>
      <c r="G57"/>
      <c r="H57"/>
      <c r="I57"/>
      <c r="J57" s="40"/>
      <c r="K57" s="40"/>
      <c r="L57" s="1" t="str">
        <f t="shared" si="11"/>
        <v xml:space="preserve">    ,</v>
      </c>
      <c r="M57" s="101" t="s">
        <v>8</v>
      </c>
      <c r="N57" s="102"/>
      <c r="O57"/>
      <c r="P57"/>
      <c r="Q57"/>
      <c r="R57"/>
      <c r="S57"/>
      <c r="T57"/>
      <c r="U57"/>
      <c r="V57" s="1" t="str">
        <f t="shared" si="12"/>
        <v xml:space="preserve">    ,</v>
      </c>
    </row>
    <row r="58" spans="1:22" ht="15.75" customHeight="1" thickBot="1" x14ac:dyDescent="0.25">
      <c r="A58" s="101" t="s">
        <v>21</v>
      </c>
      <c r="B58" s="102"/>
      <c r="C58"/>
      <c r="D58"/>
      <c r="E58"/>
      <c r="F58"/>
      <c r="G58"/>
      <c r="H58"/>
      <c r="I58"/>
      <c r="J58" s="40"/>
      <c r="K58" s="40"/>
      <c r="L58" s="1" t="str">
        <f t="shared" si="11"/>
        <v xml:space="preserve">    ,</v>
      </c>
      <c r="M58" s="101" t="s">
        <v>21</v>
      </c>
      <c r="N58" s="102"/>
      <c r="O58"/>
      <c r="P58"/>
      <c r="Q58"/>
      <c r="R58"/>
      <c r="S58"/>
      <c r="T58"/>
      <c r="U58"/>
      <c r="V58" s="1" t="str">
        <f t="shared" si="12"/>
        <v xml:space="preserve">    ,</v>
      </c>
    </row>
    <row r="59" spans="1:22" ht="15.75" customHeight="1" thickBot="1" x14ac:dyDescent="0.25">
      <c r="A59" s="101" t="s">
        <v>22</v>
      </c>
      <c r="B59" s="102"/>
      <c r="C59" s="86"/>
      <c r="D59" s="87"/>
      <c r="E59" s="87"/>
      <c r="F59" s="87"/>
      <c r="G59" s="87"/>
      <c r="H59" s="87"/>
      <c r="I59" s="88"/>
      <c r="J59" s="40"/>
      <c r="K59" s="40"/>
      <c r="L59" s="1"/>
      <c r="M59" s="101" t="s">
        <v>22</v>
      </c>
      <c r="N59" s="102"/>
      <c r="O59" s="86"/>
      <c r="P59" s="87"/>
      <c r="Q59" s="87"/>
      <c r="R59" s="87"/>
      <c r="S59" s="87"/>
      <c r="T59" s="87"/>
      <c r="U59" s="88"/>
      <c r="V59" s="1"/>
    </row>
    <row r="60" spans="1:22" ht="15" x14ac:dyDescent="0.2"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</row>
  </sheetData>
  <mergeCells count="80">
    <mergeCell ref="A59:B59"/>
    <mergeCell ref="M59:N59"/>
    <mergeCell ref="A56:B56"/>
    <mergeCell ref="M56:N56"/>
    <mergeCell ref="A57:B57"/>
    <mergeCell ref="M57:N57"/>
    <mergeCell ref="A58:B58"/>
    <mergeCell ref="M58:N58"/>
    <mergeCell ref="A6:A14"/>
    <mergeCell ref="M6:M14"/>
    <mergeCell ref="A36:A44"/>
    <mergeCell ref="M36:M44"/>
    <mergeCell ref="A55:I55"/>
    <mergeCell ref="M55:U55"/>
    <mergeCell ref="A27:B27"/>
    <mergeCell ref="A28:B28"/>
    <mergeCell ref="A29:B29"/>
    <mergeCell ref="M25:U25"/>
    <mergeCell ref="M26:N26"/>
    <mergeCell ref="M27:N27"/>
    <mergeCell ref="M28:N28"/>
    <mergeCell ref="M29:N29"/>
    <mergeCell ref="A53:B53"/>
    <mergeCell ref="M53:N53"/>
    <mergeCell ref="A54:B54"/>
    <mergeCell ref="M54:N54"/>
    <mergeCell ref="A50:I50"/>
    <mergeCell ref="M50:U50"/>
    <mergeCell ref="A51:B51"/>
    <mergeCell ref="M51:N51"/>
    <mergeCell ref="A52:B52"/>
    <mergeCell ref="M52:N52"/>
    <mergeCell ref="A45:I45"/>
    <mergeCell ref="M15:U15"/>
    <mergeCell ref="M45:U45"/>
    <mergeCell ref="A19:B19"/>
    <mergeCell ref="M18:N18"/>
    <mergeCell ref="M19:N19"/>
    <mergeCell ref="M35:U35"/>
    <mergeCell ref="A20:I20"/>
    <mergeCell ref="A21:B21"/>
    <mergeCell ref="A22:B22"/>
    <mergeCell ref="A23:B23"/>
    <mergeCell ref="A24:B24"/>
    <mergeCell ref="M21:N21"/>
    <mergeCell ref="M22:N22"/>
    <mergeCell ref="M23:N23"/>
    <mergeCell ref="M24:N24"/>
    <mergeCell ref="A48:B48"/>
    <mergeCell ref="A49:B49"/>
    <mergeCell ref="M48:N48"/>
    <mergeCell ref="M49:N49"/>
    <mergeCell ref="M16:N16"/>
    <mergeCell ref="M17:N17"/>
    <mergeCell ref="A46:B46"/>
    <mergeCell ref="A47:B47"/>
    <mergeCell ref="M46:N46"/>
    <mergeCell ref="M47:N47"/>
    <mergeCell ref="A33:B33"/>
    <mergeCell ref="M33:N33"/>
    <mergeCell ref="A34:B34"/>
    <mergeCell ref="M34:N34"/>
    <mergeCell ref="A35:I35"/>
    <mergeCell ref="A18:B18"/>
    <mergeCell ref="A2:B2"/>
    <mergeCell ref="M2:N2"/>
    <mergeCell ref="A32:B32"/>
    <mergeCell ref="M32:N32"/>
    <mergeCell ref="A3:B3"/>
    <mergeCell ref="M3:N3"/>
    <mergeCell ref="A16:B16"/>
    <mergeCell ref="A17:B17"/>
    <mergeCell ref="A4:B4"/>
    <mergeCell ref="M4:N4"/>
    <mergeCell ref="A5:I5"/>
    <mergeCell ref="M5:U5"/>
    <mergeCell ref="M20:U20"/>
    <mergeCell ref="A15:I15"/>
    <mergeCell ref="A25:I25"/>
    <mergeCell ref="A26:B26"/>
  </mergeCells>
  <phoneticPr fontId="1" type="noConversion"/>
  <conditionalFormatting sqref="C2:I4 C6:I14 C16:I19 C21:I24 C26:I29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6">
    <cfRule type="colorScale" priority="1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6:I14 C2:I4 C16:I19 C21:I24 C26:I29">
    <cfRule type="colorScale" priority="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7:I7">
    <cfRule type="colorScale" priority="2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9:I9">
    <cfRule type="colorScale" priority="2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0:I11">
    <cfRule type="colorScale" priority="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2:I12">
    <cfRule type="colorScale" priority="2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3:I14">
    <cfRule type="colorScale" priority="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8 C2:I4 C8:I8">
    <cfRule type="colorScale" priority="16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8 C2:I4">
    <cfRule type="colorScale" priority="17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7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16:I19 C2:I4 C21:I24 C8:I8 C26:I29">
    <cfRule type="colorScale" priority="18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1:I23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C26:I28"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J29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0:J59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2:K29">
    <cfRule type="colorScale" priority="2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:K5 C3:K4">
    <cfRule type="colorScale" priority="113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5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19:K20 C2:K4 C16:K18 C21:K23 J5:K15 J24:K25 J29:K29 C26:K28">
    <cfRule type="colorScale" priority="16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0:K54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J55:K59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2:K29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K50:K59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A25A9-7BAB-4662-AC2A-B7F2DABCCE29}">
  <dimension ref="B1:G12"/>
  <sheetViews>
    <sheetView workbookViewId="0"/>
  </sheetViews>
  <sheetFormatPr defaultRowHeight="14.25" x14ac:dyDescent="0.2"/>
  <cols>
    <col min="7" max="7" width="17.5" customWidth="1"/>
  </cols>
  <sheetData>
    <row r="1" spans="2:7" ht="15" thickBot="1" x14ac:dyDescent="0.25"/>
    <row r="2" spans="2:7" ht="15" x14ac:dyDescent="0.25">
      <c r="B2" s="114" t="s">
        <v>35</v>
      </c>
      <c r="C2" s="120"/>
      <c r="D2" s="117" t="s">
        <v>31</v>
      </c>
      <c r="E2" s="118"/>
      <c r="F2" s="118"/>
      <c r="G2" s="119"/>
    </row>
    <row r="3" spans="2:7" ht="15.75" thickBot="1" x14ac:dyDescent="0.3">
      <c r="B3" s="116"/>
      <c r="C3" s="121"/>
      <c r="D3" s="77" t="s">
        <v>27</v>
      </c>
      <c r="E3" s="74" t="s">
        <v>28</v>
      </c>
      <c r="F3" s="74" t="s">
        <v>29</v>
      </c>
      <c r="G3" s="83" t="s">
        <v>33</v>
      </c>
    </row>
    <row r="4" spans="2:7" ht="15.75" thickBot="1" x14ac:dyDescent="0.3">
      <c r="B4" s="84" t="s">
        <v>34</v>
      </c>
      <c r="C4" s="85" t="s">
        <v>27</v>
      </c>
      <c r="D4" s="78"/>
      <c r="E4" s="79"/>
      <c r="F4" s="79"/>
      <c r="G4" s="80"/>
    </row>
    <row r="5" spans="2:7" x14ac:dyDescent="0.2">
      <c r="B5" s="25"/>
      <c r="C5" s="25"/>
      <c r="D5" s="25"/>
      <c r="E5" s="25"/>
      <c r="F5" s="25"/>
      <c r="G5" s="25"/>
    </row>
    <row r="6" spans="2:7" x14ac:dyDescent="0.2">
      <c r="B6" s="25"/>
      <c r="C6" s="25"/>
      <c r="D6" s="25"/>
      <c r="E6" s="25"/>
      <c r="F6" s="25"/>
      <c r="G6" s="25"/>
    </row>
    <row r="7" spans="2:7" ht="15" thickBot="1" x14ac:dyDescent="0.25">
      <c r="B7" s="25"/>
      <c r="C7" s="25"/>
      <c r="D7" s="25"/>
      <c r="E7" s="25"/>
      <c r="F7" s="25" t="s">
        <v>32</v>
      </c>
      <c r="G7" s="25"/>
    </row>
    <row r="8" spans="2:7" ht="15" x14ac:dyDescent="0.25">
      <c r="B8" s="114" t="s">
        <v>35</v>
      </c>
      <c r="C8" s="120"/>
      <c r="D8" s="117" t="s">
        <v>31</v>
      </c>
      <c r="E8" s="118"/>
      <c r="F8" s="118"/>
      <c r="G8" s="119"/>
    </row>
    <row r="9" spans="2:7" ht="15.75" thickBot="1" x14ac:dyDescent="0.3">
      <c r="B9" s="116"/>
      <c r="C9" s="121"/>
      <c r="D9" s="77" t="s">
        <v>27</v>
      </c>
      <c r="E9" s="74" t="s">
        <v>28</v>
      </c>
      <c r="F9" s="74" t="s">
        <v>29</v>
      </c>
      <c r="G9" s="83" t="s">
        <v>33</v>
      </c>
    </row>
    <row r="10" spans="2:7" ht="15" x14ac:dyDescent="0.25">
      <c r="B10" s="114" t="s">
        <v>30</v>
      </c>
      <c r="C10" s="70" t="s">
        <v>27</v>
      </c>
      <c r="D10" s="68"/>
      <c r="E10" s="69"/>
      <c r="F10" s="69"/>
      <c r="G10" s="81"/>
    </row>
    <row r="11" spans="2:7" ht="15" x14ac:dyDescent="0.25">
      <c r="B11" s="115"/>
      <c r="C11" s="72" t="s">
        <v>28</v>
      </c>
      <c r="D11" s="71"/>
      <c r="E11" s="25"/>
      <c r="F11" s="25"/>
      <c r="G11" s="73"/>
    </row>
    <row r="12" spans="2:7" ht="15.75" thickBot="1" x14ac:dyDescent="0.3">
      <c r="B12" s="116"/>
      <c r="C12" s="83" t="s">
        <v>29</v>
      </c>
      <c r="D12" s="82"/>
      <c r="E12" s="75"/>
      <c r="F12" s="75"/>
      <c r="G12" s="76"/>
    </row>
  </sheetData>
  <mergeCells count="5">
    <mergeCell ref="B10:B12"/>
    <mergeCell ref="D8:G8"/>
    <mergeCell ref="D2:G2"/>
    <mergeCell ref="B2:C3"/>
    <mergeCell ref="B8:C9"/>
  </mergeCells>
  <phoneticPr fontId="1" type="noConversion"/>
  <conditionalFormatting sqref="D4:G4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D10:G12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partialdata_20260429_unf_idx</vt:lpstr>
      <vt:lpstr>figure</vt:lpstr>
      <vt:lpstr>fullldata_20260524_spt_idx</vt:lpstr>
      <vt:lpstr>confusion_mtx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Yuzeng Xu</cp:lastModifiedBy>
  <dcterms:created xsi:type="dcterms:W3CDTF">2015-06-05T18:17:20Z</dcterms:created>
  <dcterms:modified xsi:type="dcterms:W3CDTF">2026-06-16T09:17:18Z</dcterms:modified>
</cp:coreProperties>
</file>