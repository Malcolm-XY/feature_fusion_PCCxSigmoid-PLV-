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85DD6039-FE5A-432A-9F99-91103572B25C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7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7" l="1"/>
  <c r="V31" i="7"/>
  <c r="V30" i="7"/>
  <c r="V29" i="7"/>
  <c r="V27" i="7"/>
  <c r="V26" i="7"/>
  <c r="V25" i="7"/>
  <c r="V24" i="7"/>
  <c r="V23" i="7"/>
  <c r="V21" i="7"/>
  <c r="V20" i="7"/>
  <c r="V19" i="7"/>
  <c r="V15" i="7"/>
  <c r="V14" i="7"/>
  <c r="V13" i="7"/>
  <c r="V12" i="7"/>
  <c r="V10" i="7"/>
  <c r="V9" i="7"/>
  <c r="V8" i="7"/>
  <c r="V7" i="7"/>
  <c r="V6" i="7"/>
  <c r="V4" i="7"/>
  <c r="V3" i="7"/>
  <c r="L32" i="7"/>
  <c r="L31" i="7"/>
  <c r="L30" i="7"/>
  <c r="L29" i="7"/>
  <c r="L27" i="7"/>
  <c r="L26" i="7"/>
  <c r="L25" i="7"/>
  <c r="L24" i="7"/>
  <c r="L23" i="7"/>
  <c r="L21" i="7"/>
  <c r="L20" i="7"/>
  <c r="L19" i="7"/>
  <c r="L15" i="7"/>
  <c r="L14" i="7"/>
  <c r="L13" i="7"/>
  <c r="L12" i="7"/>
  <c r="L10" i="7"/>
  <c r="L9" i="7"/>
  <c r="L8" i="7"/>
  <c r="L7" i="7"/>
  <c r="L6" i="7"/>
  <c r="L4" i="7"/>
  <c r="L3" i="7"/>
  <c r="V21" i="5"/>
  <c r="V23" i="5"/>
  <c r="V24" i="5"/>
  <c r="V25" i="5"/>
  <c r="V26" i="5"/>
  <c r="V27" i="5"/>
  <c r="V6" i="5"/>
  <c r="V7" i="5"/>
  <c r="V8" i="5"/>
  <c r="V9" i="5"/>
  <c r="V10" i="5"/>
  <c r="L21" i="5"/>
  <c r="L23" i="5"/>
  <c r="L24" i="5"/>
  <c r="L25" i="5"/>
  <c r="L26" i="5"/>
  <c r="L27" i="5"/>
  <c r="L6" i="5"/>
  <c r="L7" i="5"/>
  <c r="L8" i="5"/>
  <c r="L9" i="5"/>
  <c r="L10" i="5"/>
  <c r="K6" i="7" a="1"/>
  <c r="K6" i="7" s="1"/>
  <c r="K6" i="5" a="1"/>
  <c r="K6" i="5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2" i="7" a="1"/>
  <c r="K12" i="7" s="1"/>
  <c r="J12" i="7" a="1"/>
  <c r="J12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K7" i="7" a="1"/>
  <c r="K7" i="7" s="1"/>
  <c r="J7" i="7" a="1"/>
  <c r="J7" i="7" s="1"/>
  <c r="J6" i="7" a="1"/>
  <c r="J6" i="7" s="1"/>
  <c r="K4" i="7" a="1"/>
  <c r="K4" i="7" s="1"/>
  <c r="J4" i="7" a="1"/>
  <c r="J4" i="7" s="1"/>
  <c r="K3" i="7" a="1"/>
  <c r="K3" i="7" s="1"/>
  <c r="J3" i="7" a="1"/>
  <c r="J3" i="7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V32" i="5"/>
  <c r="V31" i="5"/>
  <c r="V30" i="5"/>
  <c r="V29" i="5"/>
  <c r="V20" i="5"/>
  <c r="V19" i="5"/>
  <c r="V15" i="5"/>
  <c r="V14" i="5"/>
  <c r="V13" i="5"/>
  <c r="V12" i="5"/>
  <c r="V4" i="5"/>
  <c r="V3" i="5"/>
  <c r="L4" i="5"/>
  <c r="L12" i="5"/>
  <c r="L13" i="5"/>
  <c r="L14" i="5"/>
  <c r="L15" i="5"/>
  <c r="K13" i="5" a="1"/>
  <c r="K13" i="5" s="1"/>
  <c r="J13" i="5" a="1"/>
  <c r="J13" i="5" s="1"/>
  <c r="L32" i="5"/>
  <c r="L20" i="5"/>
  <c r="J15" i="5" a="1"/>
  <c r="J15" i="5" s="1"/>
  <c r="J14" i="5" a="1"/>
  <c r="J14" i="5" s="1"/>
  <c r="J12" i="5" a="1"/>
  <c r="J12" i="5" s="1"/>
  <c r="J4" i="5" a="1"/>
  <c r="J4" i="5" s="1"/>
  <c r="J3" i="5" a="1"/>
  <c r="J3" i="5" s="1"/>
  <c r="K15" i="5" a="1"/>
  <c r="K15" i="5" s="1"/>
  <c r="K14" i="5" a="1"/>
  <c r="K14" i="5" s="1"/>
  <c r="K12" i="5" a="1"/>
  <c r="K12" i="5" s="1"/>
  <c r="K4" i="5" a="1"/>
  <c r="K4" i="5" s="1"/>
  <c r="K3" i="5" a="1"/>
  <c r="K3" i="5" s="1"/>
  <c r="L31" i="5"/>
  <c r="L30" i="5"/>
  <c r="L29" i="5"/>
  <c r="L19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<sst xmlns="http://schemas.openxmlformats.org/spreadsheetml/2006/main" count="176" uniqueCount="23">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</sst>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F49-0B75-44E6-A9A8-BE7E9565B2B2}">
  <dimension ref="A1:V44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80" t="s">
        <v>20</v>
      </c>
      <c r="B2" s="82"/>
      <c r="C2" s="82"/>
      <c r="D2" s="82"/>
      <c r="E2" s="82"/>
      <c r="F2" s="82"/>
      <c r="G2" s="82"/>
      <c r="H2" s="82"/>
      <c r="I2" s="81"/>
      <c r="J2" s="13"/>
      <c r="K2" s="13"/>
      <c r="L2" s="68"/>
      <c r="M2" s="80" t="s">
        <v>20</v>
      </c>
      <c r="N2" s="82"/>
      <c r="O2" s="82"/>
      <c r="P2" s="82"/>
      <c r="Q2" s="82"/>
      <c r="R2" s="82"/>
      <c r="S2" s="82"/>
      <c r="T2" s="82"/>
      <c r="U2" s="81"/>
      <c r="V2" s="68"/>
    </row>
    <row r="3" spans="1:22" ht="15.75" thickBot="1" x14ac:dyDescent="0.25">
      <c r="A3" s="80" t="s">
        <v>6</v>
      </c>
      <c r="B3" s="81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80" t="s">
        <v>6</v>
      </c>
      <c r="N3" s="81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0" t="s">
        <v>7</v>
      </c>
      <c r="B4" s="81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80" t="s">
        <v>7</v>
      </c>
      <c r="N4" s="81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5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80" t="s">
        <v>21</v>
      </c>
      <c r="B5" s="82"/>
      <c r="C5" s="82"/>
      <c r="D5" s="82"/>
      <c r="E5" s="82"/>
      <c r="F5" s="82"/>
      <c r="G5" s="82"/>
      <c r="H5" s="82"/>
      <c r="I5" s="81"/>
      <c r="J5" s="18"/>
      <c r="K5" s="18"/>
      <c r="L5" s="68"/>
      <c r="M5" s="80" t="s">
        <v>21</v>
      </c>
      <c r="N5" s="82"/>
      <c r="O5" s="82"/>
      <c r="P5" s="82"/>
      <c r="Q5" s="82"/>
      <c r="R5" s="82"/>
      <c r="S5" s="82"/>
      <c r="T5" s="82"/>
      <c r="U5" s="81"/>
      <c r="V5" s="68"/>
    </row>
    <row r="6" spans="1:22" ht="15.75" customHeight="1" thickBot="1" x14ac:dyDescent="0.25">
      <c r="A6" s="21" t="s">
        <v>13</v>
      </c>
      <c r="B6" s="19" t="s">
        <v>8</v>
      </c>
      <c r="C6" s="32">
        <v>93.322534508660667</v>
      </c>
      <c r="D6" s="33">
        <v>91.775978454254215</v>
      </c>
      <c r="E6" s="33">
        <v>89.3253113492908</v>
      </c>
      <c r="F6" s="33">
        <v>84.195102610460893</v>
      </c>
      <c r="G6" s="33">
        <v>75.282851351078591</v>
      </c>
      <c r="H6" s="33">
        <v>59.817403264734118</v>
      </c>
      <c r="I6" s="34">
        <v>48.987335530584168</v>
      </c>
      <c r="J6" s="18" cm="1">
        <f t="array" ref="J6">-SUMPRODUCT((D1:H1-C1:G1)*(C6:G6+D6:H6)/2)</f>
        <v>77.855927170650261</v>
      </c>
      <c r="K6" s="18" cm="1">
        <f t="array" ref="K6">-SUMPRODUCT((D1:I1-C1:H1)*(C6:H6+D6:I6)/2)</f>
        <v>80.576045640533223</v>
      </c>
      <c r="L6" s="68" t="str">
        <f>"    "&amp;_xlfn.TEXTJOIN(", ",TRUE,C6:I6)&amp;","</f>
        <v xml:space="preserve">    93.3225345086607, 91.7759784542542, 89.3253113492908, 84.1951026104609, 75.2828513510786, 59.8174032647341, 48.9873355305842,</v>
      </c>
      <c r="M6" s="21" t="s">
        <v>13</v>
      </c>
      <c r="N6" s="19" t="s">
        <v>8</v>
      </c>
      <c r="O6" s="32">
        <v>3.744850313359525</v>
      </c>
      <c r="P6" s="33">
        <v>3.8933180765393072</v>
      </c>
      <c r="Q6" s="33">
        <v>4.8050018581250491</v>
      </c>
      <c r="R6" s="33">
        <v>5.6081168205747511</v>
      </c>
      <c r="S6" s="33">
        <v>7.6939189125226903</v>
      </c>
      <c r="T6" s="33">
        <v>9.8783424170167837</v>
      </c>
      <c r="U6" s="34">
        <v>9.614766982557958</v>
      </c>
      <c r="V6" s="68" t="str">
        <f t="shared" si="0"/>
        <v xml:space="preserve">    3.74485031335953, 3.89331807653931, 4.80500185812505, 5.60811682057475, 7.69391891252269, 9.87834241701678, 9.61476698255796,</v>
      </c>
    </row>
    <row r="7" spans="1:22" ht="15.75" customHeight="1" thickBot="1" x14ac:dyDescent="0.25">
      <c r="A7" s="21" t="s">
        <v>14</v>
      </c>
      <c r="B7" s="19" t="s">
        <v>8</v>
      </c>
      <c r="C7" s="35">
        <v>93.273364533141859</v>
      </c>
      <c r="D7" s="36">
        <v>91.87029299561415</v>
      </c>
      <c r="E7" s="36">
        <v>89.623335842005559</v>
      </c>
      <c r="F7" s="36">
        <v>85.317773798504604</v>
      </c>
      <c r="G7" s="36">
        <v>76.849450831466257</v>
      </c>
      <c r="H7" s="36">
        <v>59.692116713812403</v>
      </c>
      <c r="I7" s="37">
        <v>48.040023414274053</v>
      </c>
      <c r="J7" s="18" cm="1">
        <f t="array" ref="J7">-SUMPRODUCT((D1:H1-C1:G1)*(C7:G7+D7:H7)/2)</f>
        <v>78.259211368610451</v>
      </c>
      <c r="K7" s="18" cm="1">
        <f t="array" ref="K7">-SUMPRODUCT((D1:I1-C1:H1)*(C7:H7+D7:I7)/2)</f>
        <v>80.95251487181261</v>
      </c>
      <c r="L7" s="68" t="str">
        <f>"    "&amp;_xlfn.TEXTJOIN(", ",TRUE,C7:I7)&amp;","</f>
        <v xml:space="preserve">    93.2733645331419, 91.8702929956142, 89.6233358420056, 85.3177737985046, 76.8494508314663, 59.6921167138124, 48.0400234142741,</v>
      </c>
      <c r="M7" s="21" t="s">
        <v>14</v>
      </c>
      <c r="N7" s="19" t="s">
        <v>8</v>
      </c>
      <c r="O7" s="35">
        <v>3.806505652638803</v>
      </c>
      <c r="P7" s="36">
        <v>3.9743246564393089</v>
      </c>
      <c r="Q7" s="36">
        <v>4.0593823416521841</v>
      </c>
      <c r="R7" s="36">
        <v>4.5229875559998014</v>
      </c>
      <c r="S7" s="36">
        <v>7.1445107065216922</v>
      </c>
      <c r="T7" s="36">
        <v>10.57740149349098</v>
      </c>
      <c r="U7" s="37">
        <v>9.1358580374633274</v>
      </c>
      <c r="V7" s="68" t="str">
        <f t="shared" si="0"/>
        <v xml:space="preserve">    3.8065056526388, 3.97432465643931, 4.05938234165218, 4.5229875559998, 7.14451070652169, 10.577401493491, 9.13585803746333,</v>
      </c>
    </row>
    <row r="8" spans="1:22" ht="15.75" customHeight="1" thickBot="1" x14ac:dyDescent="0.25">
      <c r="A8" s="21" t="s">
        <v>15</v>
      </c>
      <c r="B8" s="19" t="s">
        <v>8</v>
      </c>
      <c r="C8" s="35">
        <v>93.393325201775113</v>
      </c>
      <c r="D8" s="36">
        <v>91.881132189724838</v>
      </c>
      <c r="E8" s="36">
        <v>90.328676430303616</v>
      </c>
      <c r="F8" s="36">
        <v>85.179390248473894</v>
      </c>
      <c r="G8" s="36">
        <v>78.595685660487263</v>
      </c>
      <c r="H8" s="36">
        <v>60.04933722033352</v>
      </c>
      <c r="I8" s="37">
        <v>47.573087425785111</v>
      </c>
      <c r="J8" s="18" cm="1">
        <f t="array" ref="J8">-SUMPRODUCT((D1:H1-C1:G1)*(C8:G8+D8:H8)/2)</f>
        <v>78.607344858807892</v>
      </c>
      <c r="K8" s="18" cm="1">
        <f t="array" ref="K8">-SUMPRODUCT((D1:I1-C1:H1)*(C8:H8+D8:I8)/2)</f>
        <v>81.297905474960857</v>
      </c>
      <c r="L8" s="68" t="str">
        <f>"    "&amp;_xlfn.TEXTJOIN(", ",TRUE,C8:I8)&amp;","</f>
        <v xml:space="preserve">    93.3933252017751, 91.8811321897248, 90.3286764303036, 85.1793902484739, 78.5956856604873, 60.0493372203335, 47.5730874257851,</v>
      </c>
      <c r="M8" s="21" t="s">
        <v>15</v>
      </c>
      <c r="N8" s="19" t="s">
        <v>8</v>
      </c>
      <c r="O8" s="35">
        <v>3.4124814969952331</v>
      </c>
      <c r="P8" s="36">
        <v>4.351233991146823</v>
      </c>
      <c r="Q8" s="36">
        <v>4.0398924855430884</v>
      </c>
      <c r="R8" s="36">
        <v>4.7448812115786483</v>
      </c>
      <c r="S8" s="36">
        <v>6.2133365142875192</v>
      </c>
      <c r="T8" s="36">
        <v>9.5468943859751807</v>
      </c>
      <c r="U8" s="37">
        <v>9.1811329122154088</v>
      </c>
      <c r="V8" s="68" t="str">
        <f t="shared" si="0"/>
        <v xml:space="preserve">    3.41248149699523, 4.35123399114682, 4.03989248554309, 4.74488121157865, 6.21333651428752, 9.54689438597518, 9.18113291221541,</v>
      </c>
    </row>
    <row r="9" spans="1:22" ht="15.75" customHeight="1" thickBot="1" x14ac:dyDescent="0.25">
      <c r="A9" s="21" t="s">
        <v>16</v>
      </c>
      <c r="B9" s="19" t="s">
        <v>8</v>
      </c>
      <c r="C9" s="35">
        <v>93.392353451731125</v>
      </c>
      <c r="D9" s="36">
        <v>91.720879938407776</v>
      </c>
      <c r="E9" s="36">
        <v>90.698414346144844</v>
      </c>
      <c r="F9" s="36">
        <v>85.987580630743665</v>
      </c>
      <c r="G9" s="36">
        <v>79.243920795162595</v>
      </c>
      <c r="H9" s="36">
        <v>61.118048887389463</v>
      </c>
      <c r="I9" s="37">
        <v>47.24025582689584</v>
      </c>
      <c r="J9" s="18" cm="1">
        <f t="array" ref="J9">-SUMPRODUCT((D1:H1-C1:G1)*(C9:G9+D9:H9)/2)</f>
        <v>78.889839012448206</v>
      </c>
      <c r="K9" s="18" cm="1">
        <f t="array" ref="K9">-SUMPRODUCT((D1:I1-C1:H1)*(C9:H9+D9:I9)/2)</f>
        <v>81.598796630305344</v>
      </c>
      <c r="L9" s="68" t="str">
        <f>"    "&amp;_xlfn.TEXTJOIN(", ",TRUE,C9:I9)&amp;","</f>
        <v xml:space="preserve">    93.3923534517311, 91.7208799384078, 90.6984143461448, 85.9875806307437, 79.2439207951626, 61.1180488873895, 47.2402558268958,</v>
      </c>
      <c r="M9" s="21" t="s">
        <v>16</v>
      </c>
      <c r="N9" s="19" t="s">
        <v>8</v>
      </c>
      <c r="O9" s="35">
        <v>3.774602411297499</v>
      </c>
      <c r="P9" s="36">
        <v>3.9922189011986848</v>
      </c>
      <c r="Q9" s="36">
        <v>4.2379111838238881</v>
      </c>
      <c r="R9" s="36">
        <v>4.84542269479177</v>
      </c>
      <c r="S9" s="36">
        <v>6.4569441123064673</v>
      </c>
      <c r="T9" s="36">
        <v>9.2938662027816434</v>
      </c>
      <c r="U9" s="37">
        <v>8.9844123257983011</v>
      </c>
      <c r="V9" s="68" t="str">
        <f t="shared" si="0"/>
        <v xml:space="preserve">    3.7746024112975, 3.99221890119868, 4.23791118382389, 4.84542269479177, 6.45694411230647, 9.29386620278164, 8.9844123257983,</v>
      </c>
    </row>
    <row r="10" spans="1:22" ht="15.75" customHeight="1" thickBot="1" x14ac:dyDescent="0.25">
      <c r="A10" s="4" t="s">
        <v>17</v>
      </c>
      <c r="B10" s="19" t="s">
        <v>8</v>
      </c>
      <c r="C10" s="38">
        <v>93.40216322517206</v>
      </c>
      <c r="D10" s="39">
        <v>91.827126532236434</v>
      </c>
      <c r="E10" s="39">
        <v>90.558689954065343</v>
      </c>
      <c r="F10" s="39">
        <v>86.023376788149832</v>
      </c>
      <c r="G10" s="39">
        <v>80.076301121405308</v>
      </c>
      <c r="H10" s="39">
        <v>61.71287813908426</v>
      </c>
      <c r="I10" s="40">
        <v>46.423510007295327</v>
      </c>
      <c r="J10" s="18" cm="1">
        <f t="array" ref="J10">-SUMPRODUCT((D1:H1-C1:G1)*(C10:G10+D10:H10)/2)</f>
        <v>79.00453781318754</v>
      </c>
      <c r="K10" s="18" cm="1">
        <f t="array" ref="K10">-SUMPRODUCT((D1:I1-C1:H1)*(C10:H10+D10:I10)/2)</f>
        <v>81.707947516847028</v>
      </c>
      <c r="L10" s="68" t="str">
        <f>"    "&amp;_xlfn.TEXTJOIN(", ",TRUE,C10:I10)&amp;","</f>
        <v xml:space="preserve">    93.4021632251721, 91.8271265322364, 90.5586899540653, 86.0233767881498, 80.0763011214053, 61.7128781390843, 46.4235100072953,</v>
      </c>
      <c r="M10" s="4" t="s">
        <v>17</v>
      </c>
      <c r="N10" s="19" t="s">
        <v>8</v>
      </c>
      <c r="O10" s="38">
        <v>3.395734543818977</v>
      </c>
      <c r="P10" s="39">
        <v>4.0701241715569392</v>
      </c>
      <c r="Q10" s="39">
        <v>4.2545139093922257</v>
      </c>
      <c r="R10" s="39">
        <v>5.0550386107492153</v>
      </c>
      <c r="S10" s="39">
        <v>5.5998181447012403</v>
      </c>
      <c r="T10" s="39">
        <v>8.7815136499154747</v>
      </c>
      <c r="U10" s="40">
        <v>8.6649338950065129</v>
      </c>
      <c r="V10" s="68" t="str">
        <f t="shared" si="0"/>
        <v xml:space="preserve">    3.39573454381898, 4.07012417155694, 4.25451390939223, 5.05503861074922, 5.59981814470124, 8.78151364991547, 8.66493389500651,</v>
      </c>
    </row>
    <row r="11" spans="1:22" ht="15.75" customHeight="1" thickBot="1" x14ac:dyDescent="0.25">
      <c r="A11" s="80" t="s">
        <v>22</v>
      </c>
      <c r="B11" s="82"/>
      <c r="C11" s="83"/>
      <c r="D11" s="83"/>
      <c r="E11" s="83"/>
      <c r="F11" s="83"/>
      <c r="G11" s="83"/>
      <c r="H11" s="83"/>
      <c r="I11" s="79"/>
      <c r="J11" s="18"/>
      <c r="K11" s="18"/>
      <c r="L11" s="68"/>
      <c r="M11" s="80" t="s">
        <v>22</v>
      </c>
      <c r="N11" s="82"/>
      <c r="O11" s="83"/>
      <c r="P11" s="83"/>
      <c r="Q11" s="83"/>
      <c r="R11" s="83"/>
      <c r="S11" s="83"/>
      <c r="T11" s="83"/>
      <c r="U11" s="79"/>
      <c r="V11" s="68"/>
    </row>
    <row r="12" spans="1:22" ht="15.75" customHeight="1" thickBot="1" x14ac:dyDescent="0.25">
      <c r="A12" s="80" t="s">
        <v>9</v>
      </c>
      <c r="B12" s="81"/>
      <c r="C12" s="50">
        <v>93.782740335124032</v>
      </c>
      <c r="D12" s="51">
        <v>91.948208894540599</v>
      </c>
      <c r="E12" s="51">
        <v>90.212980504444957</v>
      </c>
      <c r="F12" s="51">
        <v>84.630388959535409</v>
      </c>
      <c r="G12" s="51">
        <v>75.371093175546491</v>
      </c>
      <c r="H12" s="51">
        <v>59.627211308056303</v>
      </c>
      <c r="I12" s="52">
        <v>47.844185503334799</v>
      </c>
      <c r="J12" s="18" cm="1">
        <f t="array" ref="J12">-SUMPRODUCT((D1:H1-C1:G1)*(C12:G12+D12:H12)/2)</f>
        <v>78.220843605913544</v>
      </c>
      <c r="K12" s="18" cm="1">
        <f t="array" ref="K12">-SUMPRODUCT((D1:I1-C1:H1)*(C12:H12+D12:I12)/2)</f>
        <v>80.907628526198323</v>
      </c>
      <c r="L12" s="68" t="str">
        <f>"    "&amp;_xlfn.TEXTJOIN(", ",TRUE,C12:I12)&amp;","</f>
        <v xml:space="preserve">    93.782740335124, 91.9482088945406, 90.212980504445, 84.6303889595354, 75.3710931755465, 59.6272113080563, 47.8441855033348,</v>
      </c>
      <c r="M12" s="80" t="s">
        <v>9</v>
      </c>
      <c r="N12" s="81"/>
      <c r="O12" s="50">
        <v>3.5391983918820551</v>
      </c>
      <c r="P12" s="51">
        <v>4.1060038651541966</v>
      </c>
      <c r="Q12" s="51">
        <v>4.774795806468676</v>
      </c>
      <c r="R12" s="51">
        <v>5.3483339064680431</v>
      </c>
      <c r="S12" s="51">
        <v>8.0994903921197494</v>
      </c>
      <c r="T12" s="51">
        <v>10.59987402205407</v>
      </c>
      <c r="U12" s="52">
        <v>8.7604668874903737</v>
      </c>
      <c r="V12" s="68" t="str">
        <f t="shared" si="0"/>
        <v xml:space="preserve">    3.53919839188206, 4.1060038651542, 4.77479580646868, 5.34833390646804, 8.09949039211975, 10.5998740220541, 8.76046688749037,</v>
      </c>
    </row>
    <row r="13" spans="1:22" ht="15.75" customHeight="1" thickBot="1" x14ac:dyDescent="0.25">
      <c r="A13" s="78" t="s">
        <v>10</v>
      </c>
      <c r="B13" s="79"/>
      <c r="C13" s="53">
        <v>93.226230330712227</v>
      </c>
      <c r="D13" s="54">
        <v>91.83329152212967</v>
      </c>
      <c r="E13" s="54">
        <v>90.325291164571794</v>
      </c>
      <c r="F13" s="54">
        <v>85.383492360083878</v>
      </c>
      <c r="G13" s="54">
        <v>76.567000291236639</v>
      </c>
      <c r="H13" s="54">
        <v>59.41454222499042</v>
      </c>
      <c r="I13" s="55">
        <v>50.563407411252108</v>
      </c>
      <c r="J13" s="18" cm="1">
        <f t="array" ref="J13">-SUMPRODUCT((D1:H1-C1:G1)*(C13:G13+D13:H13)/2)</f>
        <v>78.369743178285859</v>
      </c>
      <c r="K13" s="18" cm="1">
        <f t="array" ref="K13">-SUMPRODUCT((D1:I1-C1:H1)*(C13:H13+D13:I13)/2)</f>
        <v>81.11919191919192</v>
      </c>
      <c r="L13" s="68" t="str">
        <f>"    "&amp;_xlfn.TEXTJOIN(", ",TRUE,C13:I13)&amp;","</f>
        <v xml:space="preserve">    93.2262303307122, 91.8332915221297, 90.3252911645718, 85.3834923600839, 76.5670002912366, 59.4145422249904, 50.5634074112521,</v>
      </c>
      <c r="M13" s="80" t="s">
        <v>10</v>
      </c>
      <c r="N13" s="81"/>
      <c r="O13" s="53">
        <v>3.945711842949601</v>
      </c>
      <c r="P13" s="54">
        <v>4.8525950161134093</v>
      </c>
      <c r="Q13" s="54">
        <v>4.4346894499148144</v>
      </c>
      <c r="R13" s="54">
        <v>5.4810029574676529</v>
      </c>
      <c r="S13" s="54">
        <v>8.4636725644600066</v>
      </c>
      <c r="T13" s="54">
        <v>10.788297692871961</v>
      </c>
      <c r="U13" s="55">
        <v>8.7433484877826491</v>
      </c>
      <c r="V13" s="68" t="str">
        <f t="shared" si="0"/>
        <v xml:space="preserve">    3.9457118429496, 4.85259501611341, 4.43468944991481, 5.48100295746765, 8.46367256446001, 10.788297692872, 8.74334848778265,</v>
      </c>
    </row>
    <row r="14" spans="1:22" ht="15.75" customHeight="1" thickBot="1" x14ac:dyDescent="0.25">
      <c r="A14" s="80" t="s">
        <v>18</v>
      </c>
      <c r="B14" s="81"/>
      <c r="C14" s="53">
        <v>93.004922187908207</v>
      </c>
      <c r="D14" s="54">
        <v>91.518502178507859</v>
      </c>
      <c r="E14" s="54">
        <v>89.729420958082102</v>
      </c>
      <c r="F14" s="54">
        <v>83.348607398564567</v>
      </c>
      <c r="G14" s="54">
        <v>74.087719905304837</v>
      </c>
      <c r="H14" s="54">
        <v>57.917332041511322</v>
      </c>
      <c r="I14" s="55">
        <v>48.007794185070807</v>
      </c>
      <c r="J14" s="18" cm="1">
        <f t="array" ref="J14">-SUMPRODUCT((D1:H1-C1:G1)*(C14:G14+D14:H14)/2)</f>
        <v>77.501290236074709</v>
      </c>
      <c r="K14" s="18" cm="1">
        <f t="array" ref="K14">-SUMPRODUCT((D1:I1-C1:H1)*(C14:H14+D14:I14)/2)</f>
        <v>80.14941839173926</v>
      </c>
      <c r="L14" s="68" t="str">
        <f>"    "&amp;_xlfn.TEXTJOIN(", ",TRUE,C14:I14)&amp;","</f>
        <v xml:space="preserve">    93.0049221879082, 91.5185021785079, 89.7294209580821, 83.3486073985646, 74.0877199053048, 57.9173320415113, 48.0077941850708,</v>
      </c>
      <c r="M14" s="80" t="s">
        <v>18</v>
      </c>
      <c r="N14" s="81"/>
      <c r="O14" s="53">
        <v>3.690401528555848</v>
      </c>
      <c r="P14" s="54">
        <v>4.2469367469027457</v>
      </c>
      <c r="Q14" s="54">
        <v>4.4611096369834957</v>
      </c>
      <c r="R14" s="54">
        <v>5.4089286426803449</v>
      </c>
      <c r="S14" s="54">
        <v>9.092124974067179</v>
      </c>
      <c r="T14" s="54">
        <v>10.83557708581068</v>
      </c>
      <c r="U14" s="55">
        <v>9.2904800440053528</v>
      </c>
      <c r="V14" s="68" t="str">
        <f t="shared" si="0"/>
        <v xml:space="preserve">    3.69040152855585, 4.24693674690275, 4.4611096369835, 5.40892864268034, 9.09212497406718, 10.8355770858107, 9.29048004400535,</v>
      </c>
    </row>
    <row r="15" spans="1:22" ht="15.75" customHeight="1" thickBot="1" x14ac:dyDescent="0.25">
      <c r="A15" s="80" t="s">
        <v>19</v>
      </c>
      <c r="B15" s="81"/>
      <c r="C15" s="56">
        <v>93.123279613145442</v>
      </c>
      <c r="D15" s="57">
        <v>91.674385879923975</v>
      </c>
      <c r="E15" s="57">
        <v>89.698688281617194</v>
      </c>
      <c r="F15" s="57">
        <v>84.957067102656595</v>
      </c>
      <c r="G15" s="57">
        <v>75.939082518014857</v>
      </c>
      <c r="H15" s="57">
        <v>59.995092229748238</v>
      </c>
      <c r="I15" s="58">
        <v>48.440303693515233</v>
      </c>
      <c r="J15" s="18" cm="1">
        <f t="array" ref="J15">-SUMPRODUCT((D1:H1-C1:G1)*(C15:G15+D15:H15)/2)</f>
        <v>78.078434213675436</v>
      </c>
      <c r="K15" s="18" cm="1">
        <f t="array" ref="K15">-SUMPRODUCT((D1:I1-C1:H1)*(C15:H15+D15:I15)/2)</f>
        <v>80.789319111757024</v>
      </c>
      <c r="L15" s="68" t="str">
        <f>"    "&amp;_xlfn.TEXTJOIN(", ",TRUE,C15:I15)&amp;","</f>
        <v xml:space="preserve">    93.1232796131454, 91.674385879924, 89.6986882816172, 84.9570671026566, 75.9390825180149, 59.9950922297482, 48.4403036935152,</v>
      </c>
      <c r="M15" s="80" t="s">
        <v>19</v>
      </c>
      <c r="N15" s="81"/>
      <c r="O15" s="56">
        <v>3.8088682011350912</v>
      </c>
      <c r="P15" s="57">
        <v>4.4783864386850611</v>
      </c>
      <c r="Q15" s="57">
        <v>5.0849840192173117</v>
      </c>
      <c r="R15" s="57">
        <v>5.0366327026230584</v>
      </c>
      <c r="S15" s="57">
        <v>7.6643798786674449</v>
      </c>
      <c r="T15" s="57">
        <v>10.05146904627655</v>
      </c>
      <c r="U15" s="58">
        <v>9.821397671709315</v>
      </c>
      <c r="V15" s="68" t="str">
        <f t="shared" si="0"/>
        <v xml:space="preserve">    3.80886820113509, 4.47838643868506, 5.08498401921731, 5.03663270262306, 7.66437987866744, 10.0514690462765, 9.82139767170931,</v>
      </c>
    </row>
    <row r="16" spans="1:22" ht="15" thickBo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69"/>
      <c r="M16" s="22"/>
      <c r="N16" s="22"/>
      <c r="O16" s="22"/>
      <c r="P16" s="22"/>
      <c r="Q16" s="22"/>
      <c r="R16" s="22"/>
      <c r="S16" s="22"/>
      <c r="T16" s="22"/>
      <c r="U16" s="22"/>
      <c r="V16" s="69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0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0"/>
    </row>
    <row r="18" spans="1:22" ht="15.75" thickBot="1" x14ac:dyDescent="0.25">
      <c r="A18" s="73" t="s">
        <v>20</v>
      </c>
      <c r="B18" s="75"/>
      <c r="C18" s="75"/>
      <c r="D18" s="75"/>
      <c r="E18" s="75"/>
      <c r="F18" s="75"/>
      <c r="G18" s="75"/>
      <c r="H18" s="75"/>
      <c r="I18" s="74"/>
      <c r="J18" s="14"/>
      <c r="K18" s="14"/>
      <c r="L18" s="70"/>
      <c r="M18" s="73" t="s">
        <v>20</v>
      </c>
      <c r="N18" s="75"/>
      <c r="O18" s="75"/>
      <c r="P18" s="75"/>
      <c r="Q18" s="75"/>
      <c r="R18" s="75"/>
      <c r="S18" s="75"/>
      <c r="T18" s="75"/>
      <c r="U18" s="74"/>
      <c r="V18" s="70"/>
    </row>
    <row r="19" spans="1:22" ht="15.75" thickBot="1" x14ac:dyDescent="0.25">
      <c r="A19" s="73" t="s">
        <v>6</v>
      </c>
      <c r="B19" s="74"/>
      <c r="C19" s="24">
        <v>92.567111769713335</v>
      </c>
      <c r="D19" s="24">
        <v>90.835858608343599</v>
      </c>
      <c r="E19" s="24">
        <v>89.217505339533233</v>
      </c>
      <c r="F19" s="24">
        <v>83.237245964288078</v>
      </c>
      <c r="G19" s="24">
        <v>75.380430844191011</v>
      </c>
      <c r="H19" s="24">
        <v>58.994367187597383</v>
      </c>
      <c r="I19" s="25">
        <v>43.622535641382179</v>
      </c>
      <c r="J19" s="23"/>
      <c r="K19" s="23"/>
      <c r="L19" s="70" t="str">
        <f>"    "&amp;_xlfn.TEXTJOIN(", ",TRUE,C19:I19)&amp;","</f>
        <v xml:space="preserve">    92.5671117697133, 90.8358586083436, 89.2175053395332, 83.2372459642881, 75.380430844191, 58.9943671875974, 43.6225356413822,</v>
      </c>
      <c r="M19" s="73" t="s">
        <v>2</v>
      </c>
      <c r="N19" s="74"/>
      <c r="O19" s="26">
        <v>3.88093621561358</v>
      </c>
      <c r="P19" s="24">
        <v>4.8164746829677396</v>
      </c>
      <c r="Q19" s="24">
        <v>5.2250608386616522</v>
      </c>
      <c r="R19" s="24">
        <v>5.6675721086724113</v>
      </c>
      <c r="S19" s="24">
        <v>8.3263283482936075</v>
      </c>
      <c r="T19" s="24">
        <v>10.49020927094638</v>
      </c>
      <c r="U19" s="25">
        <v>11.060437347759546</v>
      </c>
      <c r="V19" s="70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3" t="s">
        <v>7</v>
      </c>
      <c r="B20" s="74"/>
      <c r="C20" s="24">
        <v>92.866950218042462</v>
      </c>
      <c r="D20" s="24">
        <v>91.242690764745561</v>
      </c>
      <c r="E20" s="24">
        <v>90.137053227698445</v>
      </c>
      <c r="F20" s="24">
        <v>86.080152926613408</v>
      </c>
      <c r="G20" s="24">
        <v>77.410217255196784</v>
      </c>
      <c r="H20" s="24">
        <v>59.676194764980139</v>
      </c>
      <c r="I20" s="25">
        <v>46.395490419404197</v>
      </c>
      <c r="J20" s="23"/>
      <c r="K20" s="23"/>
      <c r="L20" s="70" t="str">
        <f>"    "&amp;_xlfn.TEXTJOIN(", ",TRUE,C20:I20)&amp;","</f>
        <v xml:space="preserve">    92.8669502180425, 91.2426907647456, 90.1370532276984, 86.0801529266134, 77.4102172551968, 59.6761947649801, 46.3954904194042,</v>
      </c>
      <c r="M20" s="73" t="s">
        <v>7</v>
      </c>
      <c r="N20" s="74"/>
      <c r="O20" s="24">
        <v>3.8319643020864191</v>
      </c>
      <c r="P20" s="24">
        <v>4.3603246705255447</v>
      </c>
      <c r="Q20" s="24">
        <v>4.7987735191879262</v>
      </c>
      <c r="R20" s="24">
        <v>5.1262965367330251</v>
      </c>
      <c r="S20" s="24">
        <v>7.087258799823358</v>
      </c>
      <c r="T20" s="24">
        <v>9.7457736576346736</v>
      </c>
      <c r="U20" s="25">
        <v>10.021578856839133</v>
      </c>
      <c r="V20" s="70" t="str">
        <f t="shared" ref="V20:V32" si="1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3" t="s">
        <v>12</v>
      </c>
      <c r="B21" s="74"/>
      <c r="C21" s="29">
        <v>87.268396410214976</v>
      </c>
      <c r="D21" s="30">
        <v>87.256428398686779</v>
      </c>
      <c r="E21" s="30">
        <v>87.822106304170404</v>
      </c>
      <c r="F21" s="30">
        <v>87.68072644235157</v>
      </c>
      <c r="G21" s="30">
        <v>87.144879367185226</v>
      </c>
      <c r="H21" s="30">
        <v>74.976567886515753</v>
      </c>
      <c r="I21" s="31">
        <v>46.41754739488244</v>
      </c>
      <c r="J21" s="23"/>
      <c r="K21" s="23"/>
      <c r="L21" s="70" t="str">
        <f t="shared" ref="L21:L27" si="2">"    "&amp;_xlfn.TEXTJOIN(", ",TRUE,C21:I21)&amp;","</f>
        <v xml:space="preserve">    87.268396410215, 87.2564283986868, 87.8221063041704, 87.6807264423516, 87.1448793671852, 74.9765678865158, 46.4175473948824,</v>
      </c>
      <c r="M21" s="73" t="s">
        <v>12</v>
      </c>
      <c r="N21" s="74"/>
      <c r="O21" s="29">
        <v>2.610595868561878</v>
      </c>
      <c r="P21" s="30">
        <v>2.3209805270224559</v>
      </c>
      <c r="Q21" s="30">
        <v>2.4426244152699921</v>
      </c>
      <c r="R21" s="30">
        <v>2.2821255442986761</v>
      </c>
      <c r="S21" s="30">
        <v>2.523131741400912</v>
      </c>
      <c r="T21" s="30">
        <v>3.7626100419371111</v>
      </c>
      <c r="U21" s="31">
        <v>4.1161081119796732</v>
      </c>
      <c r="V21" s="70" t="str">
        <f t="shared" si="1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3" t="s">
        <v>21</v>
      </c>
      <c r="B22" s="75"/>
      <c r="C22" s="75"/>
      <c r="D22" s="75"/>
      <c r="E22" s="75"/>
      <c r="F22" s="75"/>
      <c r="G22" s="75"/>
      <c r="H22" s="75"/>
      <c r="I22" s="74"/>
      <c r="J22" s="23"/>
      <c r="K22" s="23"/>
      <c r="L22" s="70"/>
      <c r="M22" s="73" t="s">
        <v>21</v>
      </c>
      <c r="N22" s="75"/>
      <c r="O22" s="75"/>
      <c r="P22" s="75"/>
      <c r="Q22" s="75"/>
      <c r="R22" s="75"/>
      <c r="S22" s="75"/>
      <c r="T22" s="75"/>
      <c r="U22" s="74"/>
      <c r="V22" s="70"/>
    </row>
    <row r="23" spans="1:22" ht="15.75" thickBot="1" x14ac:dyDescent="0.25">
      <c r="A23" s="27" t="s">
        <v>13</v>
      </c>
      <c r="B23" s="20" t="s">
        <v>8</v>
      </c>
      <c r="C23" s="41">
        <v>92.877162022692673</v>
      </c>
      <c r="D23" s="42">
        <v>91.342004296440891</v>
      </c>
      <c r="E23" s="42">
        <v>88.849663722111714</v>
      </c>
      <c r="F23" s="42">
        <v>83.425581047123487</v>
      </c>
      <c r="G23" s="42">
        <v>74.331040889365326</v>
      </c>
      <c r="H23" s="42">
        <v>58.061281149804422</v>
      </c>
      <c r="I23" s="43">
        <v>45.460557781643139</v>
      </c>
      <c r="J23" s="23"/>
      <c r="K23" s="23"/>
      <c r="L23" s="70" t="str">
        <f t="shared" si="2"/>
        <v xml:space="preserve">    92.8771620226927, 91.3420042964409, 88.8496637221117, 83.4255810471235, 74.3310408893653, 58.0612811498044, 45.4605577816431,</v>
      </c>
      <c r="M23" s="27" t="s">
        <v>13</v>
      </c>
      <c r="N23" s="20" t="s">
        <v>8</v>
      </c>
      <c r="O23" s="41">
        <v>4.2034876868512496</v>
      </c>
      <c r="P23" s="42">
        <v>4.2545664473268241</v>
      </c>
      <c r="Q23" s="42">
        <v>5.2139202466743404</v>
      </c>
      <c r="R23" s="42">
        <v>6.0429401167011036</v>
      </c>
      <c r="S23" s="42">
        <v>7.9937769486502512</v>
      </c>
      <c r="T23" s="42">
        <v>10.28587091021045</v>
      </c>
      <c r="U23" s="43">
        <v>10.423769242439089</v>
      </c>
      <c r="V23" s="70" t="str">
        <f t="shared" si="1"/>
        <v xml:space="preserve">    4.20348768685125, 4.25456644732682, 5.21392024667434, 6.0429401167011, 7.99377694865025, 10.2858709102105, 10.4237692424391,</v>
      </c>
    </row>
    <row r="24" spans="1:22" ht="15.75" thickBot="1" x14ac:dyDescent="0.25">
      <c r="A24" s="27" t="s">
        <v>14</v>
      </c>
      <c r="B24" s="20" t="s">
        <v>8</v>
      </c>
      <c r="C24" s="44">
        <v>92.838453292137913</v>
      </c>
      <c r="D24" s="45">
        <v>91.473392121486668</v>
      </c>
      <c r="E24" s="45">
        <v>89.153829114712451</v>
      </c>
      <c r="F24" s="45">
        <v>84.599823422928296</v>
      </c>
      <c r="G24" s="45">
        <v>75.870405100311984</v>
      </c>
      <c r="H24" s="45">
        <v>58.017936570312592</v>
      </c>
      <c r="I24" s="46">
        <v>44.241731622211077</v>
      </c>
      <c r="J24" s="23"/>
      <c r="K24" s="23"/>
      <c r="L24" s="70" t="str">
        <f t="shared" si="2"/>
        <v xml:space="preserve">    92.8384532921379, 91.4733921214867, 89.1538291147125, 84.5998234229283, 75.870405100312, 58.0179365703126, 44.2417316222111,</v>
      </c>
      <c r="M24" s="27" t="s">
        <v>14</v>
      </c>
      <c r="N24" s="20" t="s">
        <v>8</v>
      </c>
      <c r="O24" s="44">
        <v>4.1636772101202029</v>
      </c>
      <c r="P24" s="45">
        <v>4.3468023822081543</v>
      </c>
      <c r="Q24" s="45">
        <v>4.4028635605370843</v>
      </c>
      <c r="R24" s="45">
        <v>4.9072466011324094</v>
      </c>
      <c r="S24" s="45">
        <v>7.8607384311306312</v>
      </c>
      <c r="T24" s="45">
        <v>10.942642192977191</v>
      </c>
      <c r="U24" s="46">
        <v>10.154680046721969</v>
      </c>
      <c r="V24" s="70" t="str">
        <f t="shared" si="1"/>
        <v xml:space="preserve">    4.1636772101202, 4.34680238220815, 4.40286356053708, 4.90724660113241, 7.86073843113063, 10.9426421929772, 10.154680046722,</v>
      </c>
    </row>
    <row r="25" spans="1:22" ht="15.75" thickBot="1" x14ac:dyDescent="0.25">
      <c r="A25" s="27" t="s">
        <v>15</v>
      </c>
      <c r="B25" s="20" t="s">
        <v>8</v>
      </c>
      <c r="C25" s="44">
        <v>93.00237240892443</v>
      </c>
      <c r="D25" s="45">
        <v>91.399437571512095</v>
      </c>
      <c r="E25" s="45">
        <v>89.801461420137656</v>
      </c>
      <c r="F25" s="45">
        <v>84.472108725942064</v>
      </c>
      <c r="G25" s="45">
        <v>77.844565753871322</v>
      </c>
      <c r="H25" s="45">
        <v>58.641026959751883</v>
      </c>
      <c r="I25" s="46">
        <v>43.794781814198757</v>
      </c>
      <c r="J25" s="23"/>
      <c r="K25" s="23"/>
      <c r="L25" s="70" t="str">
        <f t="shared" si="2"/>
        <v xml:space="preserve">    93.0023724089244, 91.3994375715121, 89.8014614201377, 84.4721087259421, 77.8445657538713, 58.6410269597519, 43.7947818141988,</v>
      </c>
      <c r="M25" s="27" t="s">
        <v>15</v>
      </c>
      <c r="N25" s="20" t="s">
        <v>8</v>
      </c>
      <c r="O25" s="44">
        <v>3.734830310782109</v>
      </c>
      <c r="P25" s="45">
        <v>4.7609404879390542</v>
      </c>
      <c r="Q25" s="45">
        <v>4.4380892672627699</v>
      </c>
      <c r="R25" s="45">
        <v>5.2350104347350932</v>
      </c>
      <c r="S25" s="45">
        <v>6.3767093199877714</v>
      </c>
      <c r="T25" s="45">
        <v>10.0743453480168</v>
      </c>
      <c r="U25" s="46">
        <v>10.23077767127794</v>
      </c>
      <c r="V25" s="70" t="str">
        <f t="shared" si="1"/>
        <v xml:space="preserve">    3.73483031078211, 4.76094048793905, 4.43808926726277, 5.23501043473509, 6.37670931998777, 10.0743453480168, 10.2307776712779,</v>
      </c>
    </row>
    <row r="26" spans="1:22" ht="15.75" thickBot="1" x14ac:dyDescent="0.25">
      <c r="A26" s="27" t="s">
        <v>16</v>
      </c>
      <c r="B26" s="20" t="s">
        <v>8</v>
      </c>
      <c r="C26" s="44">
        <v>92.900383899679284</v>
      </c>
      <c r="D26" s="45">
        <v>91.235844425292981</v>
      </c>
      <c r="E26" s="45">
        <v>90.29405456377971</v>
      </c>
      <c r="F26" s="45">
        <v>85.379418319509256</v>
      </c>
      <c r="G26" s="45">
        <v>78.551629016968221</v>
      </c>
      <c r="H26" s="45">
        <v>59.675993039401376</v>
      </c>
      <c r="I26" s="46">
        <v>43.080746450575909</v>
      </c>
      <c r="J26" s="23"/>
      <c r="K26" s="23"/>
      <c r="L26" s="70" t="str">
        <f t="shared" si="2"/>
        <v xml:space="preserve">    92.9003838996793, 91.235844425293, 90.2940545637797, 85.3794183195093, 78.5516290169682, 59.6759930394014, 43.0807464505759,</v>
      </c>
      <c r="M26" s="27" t="s">
        <v>16</v>
      </c>
      <c r="N26" s="20" t="s">
        <v>8</v>
      </c>
      <c r="O26" s="44">
        <v>4.2760721515390498</v>
      </c>
      <c r="P26" s="45">
        <v>4.3681934860504397</v>
      </c>
      <c r="Q26" s="45">
        <v>4.6287470756065474</v>
      </c>
      <c r="R26" s="45">
        <v>5.1296535422445464</v>
      </c>
      <c r="S26" s="45">
        <v>6.6453511391338562</v>
      </c>
      <c r="T26" s="45">
        <v>9.6364632878665155</v>
      </c>
      <c r="U26" s="46">
        <v>10.446893899078651</v>
      </c>
      <c r="V26" s="70" t="str">
        <f t="shared" si="1"/>
        <v xml:space="preserve">    4.27607215153905, 4.36819348605044, 4.62874707560655, 5.12965354224455, 6.64535113913386, 9.63646328786652, 10.4468938990787,</v>
      </c>
    </row>
    <row r="27" spans="1:22" ht="15.75" thickBot="1" x14ac:dyDescent="0.25">
      <c r="A27" s="28" t="s">
        <v>17</v>
      </c>
      <c r="B27" s="20" t="s">
        <v>8</v>
      </c>
      <c r="C27" s="47">
        <v>92.975694513442221</v>
      </c>
      <c r="D27" s="48">
        <v>91.363613749154311</v>
      </c>
      <c r="E27" s="48">
        <v>90.094017961161143</v>
      </c>
      <c r="F27" s="48">
        <v>85.37773791839254</v>
      </c>
      <c r="G27" s="48">
        <v>79.268159049010507</v>
      </c>
      <c r="H27" s="48">
        <v>60.52121651399365</v>
      </c>
      <c r="I27" s="49">
        <v>42.05444880665619</v>
      </c>
      <c r="J27" s="23"/>
      <c r="K27" s="23"/>
      <c r="L27" s="70" t="str">
        <f t="shared" si="2"/>
        <v xml:space="preserve">    92.9756945134422, 91.3636137491543, 90.0940179611611, 85.3777379183925, 79.2681590490105, 60.5212165139937, 42.0544488066562,</v>
      </c>
      <c r="M27" s="28" t="s">
        <v>17</v>
      </c>
      <c r="N27" s="20" t="s">
        <v>8</v>
      </c>
      <c r="O27" s="47">
        <v>3.782557259829499</v>
      </c>
      <c r="P27" s="48">
        <v>4.4459073754732694</v>
      </c>
      <c r="Q27" s="48">
        <v>4.6323081197737448</v>
      </c>
      <c r="R27" s="48">
        <v>5.3746795640933653</v>
      </c>
      <c r="S27" s="48">
        <v>5.9912912250355319</v>
      </c>
      <c r="T27" s="48">
        <v>9.0901817740237139</v>
      </c>
      <c r="U27" s="49">
        <v>9.5108664952359483</v>
      </c>
      <c r="V27" s="70" t="str">
        <f t="shared" si="1"/>
        <v xml:space="preserve">    3.7825572598295, 4.44590737547327, 4.63230811977374, 5.37467956409337, 5.99129122503553, 9.09018177402371, 9.51086649523595,</v>
      </c>
    </row>
    <row r="28" spans="1:22" ht="15.75" thickBot="1" x14ac:dyDescent="0.25">
      <c r="A28" s="73" t="s">
        <v>22</v>
      </c>
      <c r="B28" s="75"/>
      <c r="C28" s="76"/>
      <c r="D28" s="76"/>
      <c r="E28" s="76"/>
      <c r="F28" s="76"/>
      <c r="G28" s="76"/>
      <c r="H28" s="76"/>
      <c r="I28" s="77"/>
      <c r="J28" s="23"/>
      <c r="K28" s="23"/>
      <c r="L28" s="70"/>
      <c r="M28" s="73" t="s">
        <v>22</v>
      </c>
      <c r="N28" s="75"/>
      <c r="O28" s="76"/>
      <c r="P28" s="76"/>
      <c r="Q28" s="76"/>
      <c r="R28" s="76"/>
      <c r="S28" s="76"/>
      <c r="T28" s="76"/>
      <c r="U28" s="77"/>
      <c r="V28" s="70"/>
    </row>
    <row r="29" spans="1:22" ht="14.25" customHeight="1" thickBot="1" x14ac:dyDescent="0.25">
      <c r="A29" s="73" t="s">
        <v>9</v>
      </c>
      <c r="B29" s="74"/>
      <c r="C29" s="59">
        <v>93.403798109785029</v>
      </c>
      <c r="D29" s="60">
        <v>91.51700700493744</v>
      </c>
      <c r="E29" s="60">
        <v>89.749880462689262</v>
      </c>
      <c r="F29" s="60">
        <v>83.99730958119234</v>
      </c>
      <c r="G29" s="60">
        <v>74.394962965986878</v>
      </c>
      <c r="H29" s="60">
        <v>58.095582470498513</v>
      </c>
      <c r="I29" s="61">
        <v>44.434812706207254</v>
      </c>
      <c r="J29" s="23"/>
      <c r="K29" s="23"/>
      <c r="L29" s="70" t="str">
        <f t="shared" ref="L29:L32" si="3">"    "&amp;_xlfn.TEXTJOIN(", ",TRUE,C29:I29)&amp;","</f>
        <v xml:space="preserve">    93.403798109785, 91.5170070049374, 89.7498804626893, 83.9973095811923, 74.3949629659869, 58.0955824704985, 44.4348127062073,</v>
      </c>
      <c r="M29" s="73" t="s">
        <v>9</v>
      </c>
      <c r="N29" s="74"/>
      <c r="O29" s="59">
        <v>3.9553866501853321</v>
      </c>
      <c r="P29" s="60">
        <v>4.517630835861226</v>
      </c>
      <c r="Q29" s="60">
        <v>5.2125425794506972</v>
      </c>
      <c r="R29" s="60">
        <v>5.6477461387684551</v>
      </c>
      <c r="S29" s="60">
        <v>8.6090564713117175</v>
      </c>
      <c r="T29" s="60">
        <v>11.357157347254571</v>
      </c>
      <c r="U29" s="61">
        <v>9.3757621724255777</v>
      </c>
      <c r="V29" s="70" t="str">
        <f t="shared" si="1"/>
        <v xml:space="preserve">    3.95538665018533, 4.51763083586123, 5.2125425794507, 5.64774613876846, 8.60905647131172, 11.3571573472546, 9.37576217242558,</v>
      </c>
    </row>
    <row r="30" spans="1:22" ht="15.75" thickBot="1" x14ac:dyDescent="0.25">
      <c r="A30" s="73" t="s">
        <v>10</v>
      </c>
      <c r="B30" s="74"/>
      <c r="C30" s="62">
        <v>92.778947400409621</v>
      </c>
      <c r="D30" s="63">
        <v>91.450368996373655</v>
      </c>
      <c r="E30" s="63">
        <v>89.879480954542075</v>
      </c>
      <c r="F30" s="63">
        <v>84.748756470336986</v>
      </c>
      <c r="G30" s="63">
        <v>75.627608782580538</v>
      </c>
      <c r="H30" s="63">
        <v>58.300265665116903</v>
      </c>
      <c r="I30" s="64">
        <v>48.584106437626268</v>
      </c>
      <c r="J30" s="23"/>
      <c r="K30" s="23"/>
      <c r="L30" s="70" t="str">
        <f t="shared" si="3"/>
        <v xml:space="preserve">    92.7789474004096, 91.4503689963737, 89.8794809545421, 84.748756470337, 75.6276087825805, 58.3002656651169, 48.5841064376263,</v>
      </c>
      <c r="M30" s="73" t="s">
        <v>10</v>
      </c>
      <c r="N30" s="74"/>
      <c r="O30" s="62">
        <v>4.3743918396131134</v>
      </c>
      <c r="P30" s="63">
        <v>5.1779143655465321</v>
      </c>
      <c r="Q30" s="63">
        <v>4.8362705721377752</v>
      </c>
      <c r="R30" s="63">
        <v>5.6797782301447892</v>
      </c>
      <c r="S30" s="63">
        <v>9.0190902977959446</v>
      </c>
      <c r="T30" s="63">
        <v>11.000258135261941</v>
      </c>
      <c r="U30" s="64">
        <v>9.2918474149187738</v>
      </c>
      <c r="V30" s="70" t="str">
        <f t="shared" si="1"/>
        <v xml:space="preserve">    4.37439183961311, 5.17791436554653, 4.83627057213778, 5.67977823014479, 9.01909029779594, 11.0002581352619, 9.29184741491877,</v>
      </c>
    </row>
    <row r="31" spans="1:22" ht="14.25" customHeight="1" thickBot="1" x14ac:dyDescent="0.25">
      <c r="A31" s="73" t="s">
        <v>18</v>
      </c>
      <c r="B31" s="74"/>
      <c r="C31" s="62">
        <v>92.492055194421354</v>
      </c>
      <c r="D31" s="63">
        <v>91.055738083245984</v>
      </c>
      <c r="E31" s="63">
        <v>89.241264887762341</v>
      </c>
      <c r="F31" s="63">
        <v>82.713601809643421</v>
      </c>
      <c r="G31" s="63">
        <v>73.133677048774885</v>
      </c>
      <c r="H31" s="63">
        <v>56.229205901331248</v>
      </c>
      <c r="I31" s="64">
        <v>43.695396708102962</v>
      </c>
      <c r="J31" s="23"/>
      <c r="K31" s="23"/>
      <c r="L31" s="70" t="str">
        <f t="shared" si="3"/>
        <v xml:space="preserve">    92.4920551944214, 91.055738083246, 89.2412648877623, 82.7136018096434, 73.1336770487749, 56.2292059013312, 43.695396708103,</v>
      </c>
      <c r="M31" s="73" t="s">
        <v>18</v>
      </c>
      <c r="N31" s="74"/>
      <c r="O31" s="62">
        <v>4.0986250609792014</v>
      </c>
      <c r="P31" s="63">
        <v>4.5926443490712341</v>
      </c>
      <c r="Q31" s="63">
        <v>4.8521598807380544</v>
      </c>
      <c r="R31" s="63">
        <v>5.8188919126166327</v>
      </c>
      <c r="S31" s="63">
        <v>9.5088987825376563</v>
      </c>
      <c r="T31" s="63">
        <v>11.32839542788332</v>
      </c>
      <c r="U31" s="64">
        <v>10.62887090695313</v>
      </c>
      <c r="V31" s="70" t="str">
        <f t="shared" si="1"/>
        <v xml:space="preserve">    4.0986250609792, 4.59264434907123, 4.85215988073805, 5.81889191261663, 9.50889878253766, 11.3283954278833, 10.6288709069531,</v>
      </c>
    </row>
    <row r="32" spans="1:22" ht="15.75" thickBot="1" x14ac:dyDescent="0.25">
      <c r="A32" s="73" t="s">
        <v>19</v>
      </c>
      <c r="B32" s="74"/>
      <c r="C32" s="65">
        <v>92.657174075741665</v>
      </c>
      <c r="D32" s="66">
        <v>91.208050814372243</v>
      </c>
      <c r="E32" s="66">
        <v>89.170455678091372</v>
      </c>
      <c r="F32" s="66">
        <v>84.474616062770011</v>
      </c>
      <c r="G32" s="66">
        <v>75.066668593640316</v>
      </c>
      <c r="H32" s="66">
        <v>58.520340993368222</v>
      </c>
      <c r="I32" s="67">
        <v>44.786141592049418</v>
      </c>
      <c r="J32" s="23"/>
      <c r="K32" s="23"/>
      <c r="L32" s="70" t="str">
        <f t="shared" si="3"/>
        <v xml:space="preserve">    92.6571740757417, 91.2080508143722, 89.1704556780914, 84.47461606277, 75.0666685936403, 58.5203409933682, 44.7861415920494,</v>
      </c>
      <c r="M32" s="73" t="s">
        <v>19</v>
      </c>
      <c r="N32" s="74"/>
      <c r="O32" s="65">
        <v>4.2589004392769629</v>
      </c>
      <c r="P32" s="66">
        <v>4.8517186601265534</v>
      </c>
      <c r="Q32" s="66">
        <v>5.6717673083496472</v>
      </c>
      <c r="R32" s="66">
        <v>5.3079507961921779</v>
      </c>
      <c r="S32" s="66">
        <v>7.7884705615072454</v>
      </c>
      <c r="T32" s="66">
        <v>10.595563377926201</v>
      </c>
      <c r="U32" s="67">
        <v>10.945843294214329</v>
      </c>
      <c r="V32" s="70" t="str">
        <f t="shared" si="1"/>
        <v xml:space="preserve">    4.25890043927696, 4.85171866012655, 5.67176730834965, 5.30795079619218, 7.78847056150725, 10.5955633779262, 10.9458432942143,</v>
      </c>
    </row>
    <row r="34" spans="5:21" ht="15" x14ac:dyDescent="0.2">
      <c r="J34" s="2"/>
      <c r="K34" s="2"/>
      <c r="L34" s="71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1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2:I2"/>
    <mergeCell ref="M2:U2"/>
    <mergeCell ref="A3:B3"/>
    <mergeCell ref="M3:N3"/>
    <mergeCell ref="A4:B4"/>
    <mergeCell ref="M4:N4"/>
    <mergeCell ref="A5:I5"/>
    <mergeCell ref="M5:U5"/>
    <mergeCell ref="A11:I11"/>
    <mergeCell ref="M11:U11"/>
    <mergeCell ref="A12:B12"/>
    <mergeCell ref="M12:N12"/>
    <mergeCell ref="A13:B13"/>
    <mergeCell ref="M13:N13"/>
    <mergeCell ref="A14:B14"/>
    <mergeCell ref="M14:N14"/>
    <mergeCell ref="A15:B15"/>
    <mergeCell ref="M15:N15"/>
    <mergeCell ref="A18:I18"/>
    <mergeCell ref="M18:U18"/>
    <mergeCell ref="A19:B19"/>
    <mergeCell ref="M19:N19"/>
    <mergeCell ref="A20:B20"/>
    <mergeCell ref="M20:N20"/>
    <mergeCell ref="A21:B21"/>
    <mergeCell ref="M21:N21"/>
    <mergeCell ref="A22:I22"/>
    <mergeCell ref="M22:U22"/>
    <mergeCell ref="A31:B31"/>
    <mergeCell ref="M31:N31"/>
    <mergeCell ref="A32:B32"/>
    <mergeCell ref="M32:N32"/>
    <mergeCell ref="A28:I28"/>
    <mergeCell ref="M28:U28"/>
    <mergeCell ref="A29:B29"/>
    <mergeCell ref="M29:N29"/>
    <mergeCell ref="A30:B30"/>
    <mergeCell ref="M30:N30"/>
  </mergeCells>
  <phoneticPr fontId="1" type="noConversion"/>
  <conditionalFormatting sqref="C3:I4 C6:I10 C12:I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1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1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1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80" t="s">
        <v>20</v>
      </c>
      <c r="B2" s="82"/>
      <c r="C2" s="82"/>
      <c r="D2" s="82"/>
      <c r="E2" s="82"/>
      <c r="F2" s="82"/>
      <c r="G2" s="82"/>
      <c r="H2" s="82"/>
      <c r="I2" s="81"/>
      <c r="J2" s="13"/>
      <c r="K2" s="13"/>
      <c r="L2" s="68"/>
      <c r="M2" s="80" t="s">
        <v>20</v>
      </c>
      <c r="N2" s="82"/>
      <c r="O2" s="82"/>
      <c r="P2" s="82"/>
      <c r="Q2" s="82"/>
      <c r="R2" s="82"/>
      <c r="S2" s="82"/>
      <c r="T2" s="82"/>
      <c r="U2" s="81"/>
      <c r="V2" s="68"/>
    </row>
    <row r="3" spans="1:22" ht="15.75" thickBot="1" x14ac:dyDescent="0.25">
      <c r="A3" s="80" t="s">
        <v>6</v>
      </c>
      <c r="B3" s="81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80" t="s">
        <v>6</v>
      </c>
      <c r="N3" s="81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0" t="s">
        <v>7</v>
      </c>
      <c r="B4" s="81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80" t="s">
        <v>7</v>
      </c>
      <c r="N4" s="81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5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80" t="s">
        <v>21</v>
      </c>
      <c r="B5" s="82"/>
      <c r="C5" s="82"/>
      <c r="D5" s="82"/>
      <c r="E5" s="82"/>
      <c r="F5" s="82"/>
      <c r="G5" s="82"/>
      <c r="H5" s="82"/>
      <c r="I5" s="81"/>
      <c r="J5" s="18"/>
      <c r="K5" s="18"/>
      <c r="L5" s="68"/>
      <c r="M5" s="80" t="s">
        <v>21</v>
      </c>
      <c r="N5" s="82"/>
      <c r="O5" s="82"/>
      <c r="P5" s="82"/>
      <c r="Q5" s="82"/>
      <c r="R5" s="82"/>
      <c r="S5" s="82"/>
      <c r="T5" s="82"/>
      <c r="U5" s="81"/>
      <c r="V5" s="68"/>
    </row>
    <row r="6" spans="1:22" ht="15.75" customHeight="1" thickBot="1" x14ac:dyDescent="0.25">
      <c r="A6" s="21" t="s">
        <v>13</v>
      </c>
      <c r="B6" s="19" t="s">
        <v>8</v>
      </c>
      <c r="C6" s="32">
        <v>93.251749582608895</v>
      </c>
      <c r="D6" s="33">
        <v>92.315749559540592</v>
      </c>
      <c r="E6" s="33">
        <v>91.050303203314883</v>
      </c>
      <c r="F6" s="33">
        <v>85.145306908652614</v>
      </c>
      <c r="G6" s="33">
        <v>74.568877470104979</v>
      </c>
      <c r="H6" s="33">
        <v>58.752621850823402</v>
      </c>
      <c r="I6" s="34">
        <v>48.855811901487037</v>
      </c>
      <c r="J6" s="18" cm="1">
        <f t="array" ref="J6">-SUMPRODUCT((D1:H1-C1:G1)*(C6:G6+D6:H6)/2)</f>
        <v>78.388039184306663</v>
      </c>
      <c r="K6" s="18" cm="1">
        <f t="array" ref="K6">-SUMPRODUCT((D1:I1-C1:H1)*(C6:H6+D6:I6)/2)</f>
        <v>81.078250028114425</v>
      </c>
      <c r="L6" s="68" t="str">
        <f>"    "&amp;_xlfn.TEXTJOIN(", ",TRUE,C6:I6)&amp;","</f>
        <v xml:space="preserve">    93.2517495826089, 92.3157495595406, 91.0503032033149, 85.1453069086526, 74.568877470105, 58.7526218508234, 48.855811901487,</v>
      </c>
      <c r="M6" s="21" t="s">
        <v>13</v>
      </c>
      <c r="N6" s="19" t="s">
        <v>8</v>
      </c>
      <c r="O6" s="32">
        <v>3.5601444134292639</v>
      </c>
      <c r="P6" s="33">
        <v>3.908561783076681</v>
      </c>
      <c r="Q6" s="33">
        <v>4.0931179204596262</v>
      </c>
      <c r="R6" s="33">
        <v>4.890500177052032</v>
      </c>
      <c r="S6" s="33">
        <v>8.8972437734451617</v>
      </c>
      <c r="T6" s="33">
        <v>11.002980383593529</v>
      </c>
      <c r="U6" s="34">
        <v>10.96381167986633</v>
      </c>
      <c r="V6" s="68" t="str">
        <f t="shared" si="0"/>
        <v xml:space="preserve">    3.56014441342926, 3.90856178307668, 4.09311792045963, 4.89050017705203, 8.89724377344516, 11.0029803835935, 10.9638116798663,</v>
      </c>
    </row>
    <row r="7" spans="1:22" ht="15.75" customHeight="1" thickBot="1" x14ac:dyDescent="0.25">
      <c r="A7" s="21" t="s">
        <v>14</v>
      </c>
      <c r="B7" s="19" t="s">
        <v>8</v>
      </c>
      <c r="C7" s="35">
        <v>93.360871057131405</v>
      </c>
      <c r="D7" s="36">
        <v>92.610671372589707</v>
      </c>
      <c r="E7" s="36">
        <v>91.53894353180678</v>
      </c>
      <c r="F7" s="36">
        <v>86.347119496420092</v>
      </c>
      <c r="G7" s="36">
        <v>79.608064660305601</v>
      </c>
      <c r="H7" s="36">
        <v>59.667773942681173</v>
      </c>
      <c r="I7" s="37">
        <v>49.564358976577068</v>
      </c>
      <c r="J7" s="18" cm="1">
        <f t="array" ref="J7">-SUMPRODUCT((D1:H1-C1:G1)*(C7:G7+D7:H7)/2)</f>
        <v>79.315302107573004</v>
      </c>
      <c r="K7" s="18" cm="1">
        <f t="array" ref="K7">-SUMPRODUCT((D1:I1-C1:H1)*(C7:H7+D7:I7)/2)</f>
        <v>82.046105430554462</v>
      </c>
      <c r="L7" s="68" t="str">
        <f>"    "&amp;_xlfn.TEXTJOIN(", ",TRUE,C7:I7)&amp;","</f>
        <v xml:space="preserve">    93.3608710571314, 92.6106713725897, 91.5389435318068, 86.3471194964201, 79.6080646603056, 59.6677739426812, 49.5643589765771,</v>
      </c>
      <c r="M7" s="21" t="s">
        <v>14</v>
      </c>
      <c r="N7" s="19" t="s">
        <v>8</v>
      </c>
      <c r="O7" s="35">
        <v>3.3968667909605501</v>
      </c>
      <c r="P7" s="36">
        <v>3.5801081553160659</v>
      </c>
      <c r="Q7" s="36">
        <v>3.8463275327711579</v>
      </c>
      <c r="R7" s="36">
        <v>4.8082030220444221</v>
      </c>
      <c r="S7" s="36">
        <v>6.3139504065241434</v>
      </c>
      <c r="T7" s="36">
        <v>10.958573103984669</v>
      </c>
      <c r="U7" s="37">
        <v>9.7707521708704377</v>
      </c>
      <c r="V7" s="68" t="str">
        <f t="shared" si="0"/>
        <v xml:space="preserve">    3.39686679096055, 3.58010815531607, 3.84632753277116, 4.80820302204442, 6.31395040652414, 10.9585731039847, 9.77075217087044,</v>
      </c>
    </row>
    <row r="8" spans="1:22" ht="15.75" customHeight="1" thickBot="1" x14ac:dyDescent="0.25">
      <c r="A8" s="21" t="s">
        <v>15</v>
      </c>
      <c r="B8" s="19" t="s">
        <v>8</v>
      </c>
      <c r="C8" s="35">
        <v>93.447394296951828</v>
      </c>
      <c r="D8" s="36">
        <v>92.668662070317794</v>
      </c>
      <c r="E8" s="36">
        <v>91.892822025565394</v>
      </c>
      <c r="F8" s="36">
        <v>87.102339408933759</v>
      </c>
      <c r="G8" s="36">
        <v>81.840013033561419</v>
      </c>
      <c r="H8" s="36">
        <v>63.844623800090538</v>
      </c>
      <c r="I8" s="37">
        <v>49.74739400859869</v>
      </c>
      <c r="J8" s="18" cm="1">
        <f t="array" ref="J8">-SUMPRODUCT((D1:H1-C1:G1)*(C8:G8+D8:H8)/2)</f>
        <v>79.965558165151364</v>
      </c>
      <c r="K8" s="18" cm="1">
        <f t="array" ref="K8">-SUMPRODUCT((D1:I1-C1:H1)*(C8:H8+D8:I8)/2)</f>
        <v>82.8053586103686</v>
      </c>
      <c r="L8" s="68" t="str">
        <f>"    "&amp;_xlfn.TEXTJOIN(", ",TRUE,C8:I8)&amp;","</f>
        <v xml:space="preserve">    93.4473942969518, 92.6686620703178, 91.8928220255654, 87.1023394089338, 81.8400130335614, 63.8446238000905, 49.7473940085987,</v>
      </c>
      <c r="M8" s="21" t="s">
        <v>15</v>
      </c>
      <c r="N8" s="19" t="s">
        <v>8</v>
      </c>
      <c r="O8" s="35">
        <v>3.248962546219456</v>
      </c>
      <c r="P8" s="36">
        <v>3.4458605494651682</v>
      </c>
      <c r="Q8" s="36">
        <v>3.669155542831672</v>
      </c>
      <c r="R8" s="36">
        <v>4.576705251937434</v>
      </c>
      <c r="S8" s="36">
        <v>5.8054099262670356</v>
      </c>
      <c r="T8" s="36">
        <v>8.5448011826267081</v>
      </c>
      <c r="U8" s="37">
        <v>9.0556081890851647</v>
      </c>
      <c r="V8" s="68" t="str">
        <f t="shared" si="0"/>
        <v xml:space="preserve">    3.24896254621946, 3.44586054946517, 3.66915554283167, 4.57670525193743, 5.80540992626704, 8.54480118262671, 9.05560818908516,</v>
      </c>
    </row>
    <row r="9" spans="1:22" ht="15.75" customHeight="1" thickBot="1" x14ac:dyDescent="0.25">
      <c r="A9" s="21" t="s">
        <v>16</v>
      </c>
      <c r="B9" s="19" t="s">
        <v>8</v>
      </c>
      <c r="C9" s="35">
        <v>93.249765713082894</v>
      </c>
      <c r="D9" s="36">
        <v>92.894788593903655</v>
      </c>
      <c r="E9" s="36">
        <v>92.122910521140597</v>
      </c>
      <c r="F9" s="36">
        <v>88.004671320686157</v>
      </c>
      <c r="G9" s="36">
        <v>84.021260276184606</v>
      </c>
      <c r="H9" s="36">
        <v>65.57197726623933</v>
      </c>
      <c r="I9" s="37">
        <v>51.611807483917111</v>
      </c>
      <c r="J9" s="18" cm="1">
        <f t="array" ref="J9">-SUMPRODUCT((D1:H1-C1:G1)*(C9:G9+D9:H9)/2)</f>
        <v>80.488998318901267</v>
      </c>
      <c r="K9" s="18" cm="1">
        <f t="array" ref="K9">-SUMPRODUCT((D1:I1-C1:H1)*(C9:H9+D9:I9)/2)</f>
        <v>83.418592937655177</v>
      </c>
      <c r="L9" s="68" t="str">
        <f>"    "&amp;_xlfn.TEXTJOIN(", ",TRUE,C9:I9)&amp;","</f>
        <v xml:space="preserve">    93.2497657130829, 92.8947885939037, 92.1229105211406, 88.0046713206862, 84.0212602761846, 65.5719772662393, 51.6118074839171,</v>
      </c>
      <c r="M9" s="21" t="s">
        <v>16</v>
      </c>
      <c r="N9" s="19" t="s">
        <v>8</v>
      </c>
      <c r="O9" s="35">
        <v>3.3267589765091201</v>
      </c>
      <c r="P9" s="36">
        <v>3.4867434104812438</v>
      </c>
      <c r="Q9" s="36">
        <v>3.5184580035058599</v>
      </c>
      <c r="R9" s="36">
        <v>4.3560877745270403</v>
      </c>
      <c r="S9" s="36">
        <v>4.8578412548783856</v>
      </c>
      <c r="T9" s="36">
        <v>8.3522112306767333</v>
      </c>
      <c r="U9" s="37">
        <v>8.9933683135398326</v>
      </c>
      <c r="V9" s="68" t="str">
        <f t="shared" si="0"/>
        <v xml:space="preserve">    3.32675897650912, 3.48674341048124, 3.51845800350586, 4.35608777452704, 4.85784125487839, 8.35221123067673, 8.99336831353983,</v>
      </c>
    </row>
    <row r="10" spans="1:22" ht="15.75" customHeight="1" thickBot="1" x14ac:dyDescent="0.25">
      <c r="A10" s="4" t="s">
        <v>17</v>
      </c>
      <c r="B10" s="19" t="s">
        <v>8</v>
      </c>
      <c r="C10" s="38">
        <v>93.255653883972471</v>
      </c>
      <c r="D10" s="39">
        <v>92.705998033431641</v>
      </c>
      <c r="E10" s="39">
        <v>92.220261420946557</v>
      </c>
      <c r="F10" s="39">
        <v>89.596103772523975</v>
      </c>
      <c r="G10" s="39">
        <v>83.683059542037569</v>
      </c>
      <c r="H10" s="39">
        <v>66.699861878851323</v>
      </c>
      <c r="I10" s="40">
        <v>56.618820232008929</v>
      </c>
      <c r="J10" s="18" cm="1">
        <f t="array" ref="J10">-SUMPRODUCT((D1:H1-C1:G1)*(C10:G10+D10:H10)/2)</f>
        <v>80.725729677592369</v>
      </c>
      <c r="K10" s="18" cm="1">
        <f t="array" ref="K10">-SUMPRODUCT((D1:I1-C1:H1)*(C10:H10+D10:I10)/2)</f>
        <v>83.808696730363877</v>
      </c>
      <c r="L10" s="68" t="str">
        <f>"    "&amp;_xlfn.TEXTJOIN(", ",TRUE,C10:I10)&amp;","</f>
        <v xml:space="preserve">    93.2556538839725, 92.7059980334316, 92.2202614209466, 89.596103772524, 83.6830595420376, 66.6998618788513, 56.6188202320089,</v>
      </c>
      <c r="M10" s="4" t="s">
        <v>17</v>
      </c>
      <c r="N10" s="19" t="s">
        <v>8</v>
      </c>
      <c r="O10" s="38">
        <v>3.3636208370232761</v>
      </c>
      <c r="P10" s="39">
        <v>3.3566153216317951</v>
      </c>
      <c r="Q10" s="39">
        <v>3.362069880864559</v>
      </c>
      <c r="R10" s="39">
        <v>3.8139492024122319</v>
      </c>
      <c r="S10" s="39">
        <v>5.8106715839377916</v>
      </c>
      <c r="T10" s="39">
        <v>7.2329259701235449</v>
      </c>
      <c r="U10" s="40">
        <v>8.499786774174849</v>
      </c>
      <c r="V10" s="68" t="str">
        <f t="shared" si="0"/>
        <v xml:space="preserve">    3.36362083702328, 3.3566153216318, 3.36206988086456, 3.81394920241223, 5.81067158393779, 7.23292597012354, 8.49978677417485,</v>
      </c>
    </row>
    <row r="11" spans="1:22" ht="15.75" customHeight="1" thickBot="1" x14ac:dyDescent="0.25">
      <c r="A11" s="80" t="s">
        <v>22</v>
      </c>
      <c r="B11" s="82"/>
      <c r="C11" s="83"/>
      <c r="D11" s="83"/>
      <c r="E11" s="83"/>
      <c r="F11" s="83"/>
      <c r="G11" s="83"/>
      <c r="H11" s="83"/>
      <c r="I11" s="79"/>
      <c r="J11" s="18"/>
      <c r="K11" s="18"/>
      <c r="L11" s="68"/>
      <c r="M11" s="80" t="s">
        <v>22</v>
      </c>
      <c r="N11" s="82"/>
      <c r="O11" s="83"/>
      <c r="P11" s="83"/>
      <c r="Q11" s="83"/>
      <c r="R11" s="83"/>
      <c r="S11" s="83"/>
      <c r="T11" s="83"/>
      <c r="U11" s="79"/>
      <c r="V11" s="68"/>
    </row>
    <row r="12" spans="1:22" ht="15.75" customHeight="1" thickBot="1" x14ac:dyDescent="0.25">
      <c r="A12" s="80" t="s">
        <v>9</v>
      </c>
      <c r="B12" s="81"/>
      <c r="C12" s="50">
        <v>93.782740335124032</v>
      </c>
      <c r="D12" s="51">
        <v>91.948208894540599</v>
      </c>
      <c r="E12" s="51">
        <v>90.212980504444957</v>
      </c>
      <c r="F12" s="51">
        <v>84.630388959535409</v>
      </c>
      <c r="G12" s="51">
        <v>75.371093175546491</v>
      </c>
      <c r="H12" s="51">
        <v>59.627211308056303</v>
      </c>
      <c r="I12" s="52">
        <v>47.844185503334799</v>
      </c>
      <c r="J12" s="18" cm="1">
        <f t="array" ref="J12">-SUMPRODUCT((D1:H1-C1:G1)*(C12:G12+D12:H12)/2)</f>
        <v>78.220843605913544</v>
      </c>
      <c r="K12" s="18" cm="1">
        <f t="array" ref="K12">-SUMPRODUCT((D1:I1-C1:H1)*(C12:H12+D12:I12)/2)</f>
        <v>80.907628526198323</v>
      </c>
      <c r="L12" s="68" t="str">
        <f>"    "&amp;_xlfn.TEXTJOIN(", ",TRUE,C12:I12)&amp;","</f>
        <v xml:space="preserve">    93.782740335124, 91.9482088945406, 90.212980504445, 84.6303889595354, 75.3710931755465, 59.6272113080563, 47.8441855033348,</v>
      </c>
      <c r="M12" s="80" t="s">
        <v>9</v>
      </c>
      <c r="N12" s="81"/>
      <c r="O12" s="50">
        <v>3.5391983918820551</v>
      </c>
      <c r="P12" s="51">
        <v>4.1060038651541966</v>
      </c>
      <c r="Q12" s="51">
        <v>4.774795806468676</v>
      </c>
      <c r="R12" s="51">
        <v>5.3483339064680431</v>
      </c>
      <c r="S12" s="51">
        <v>8.0994903921197494</v>
      </c>
      <c r="T12" s="51">
        <v>10.59987402205407</v>
      </c>
      <c r="U12" s="52">
        <v>8.7604668874903737</v>
      </c>
      <c r="V12" s="68" t="str">
        <f t="shared" si="0"/>
        <v xml:space="preserve">    3.53919839188206, 4.1060038651542, 4.77479580646868, 5.34833390646804, 8.09949039211975, 10.5998740220541, 8.76046688749037,</v>
      </c>
    </row>
    <row r="13" spans="1:22" ht="15.75" customHeight="1" thickBot="1" x14ac:dyDescent="0.25">
      <c r="A13" s="78" t="s">
        <v>10</v>
      </c>
      <c r="B13" s="79"/>
      <c r="C13" s="53">
        <v>93.226230330712227</v>
      </c>
      <c r="D13" s="54">
        <v>91.83329152212967</v>
      </c>
      <c r="E13" s="54">
        <v>90.325291164571794</v>
      </c>
      <c r="F13" s="54">
        <v>85.383492360083878</v>
      </c>
      <c r="G13" s="54">
        <v>76.567000291236639</v>
      </c>
      <c r="H13" s="54">
        <v>59.41454222499042</v>
      </c>
      <c r="I13" s="55">
        <v>50.563407411252108</v>
      </c>
      <c r="J13" s="18" cm="1">
        <f t="array" ref="J13">-SUMPRODUCT((D1:H1-C1:G1)*(C13:G13+D13:H13)/2)</f>
        <v>78.369743178285859</v>
      </c>
      <c r="K13" s="18" cm="1">
        <f t="array" ref="K13">-SUMPRODUCT((D1:I1-C1:H1)*(C13:H13+D13:I13)/2)</f>
        <v>81.11919191919192</v>
      </c>
      <c r="L13" s="68" t="str">
        <f>"    "&amp;_xlfn.TEXTJOIN(", ",TRUE,C13:I13)&amp;","</f>
        <v xml:space="preserve">    93.2262303307122, 91.8332915221297, 90.3252911645718, 85.3834923600839, 76.5670002912366, 59.4145422249904, 50.5634074112521,</v>
      </c>
      <c r="M13" s="80" t="s">
        <v>10</v>
      </c>
      <c r="N13" s="81"/>
      <c r="O13" s="53">
        <v>3.945711842949601</v>
      </c>
      <c r="P13" s="54">
        <v>4.8525950161134093</v>
      </c>
      <c r="Q13" s="54">
        <v>4.4346894499148144</v>
      </c>
      <c r="R13" s="54">
        <v>5.4810029574676529</v>
      </c>
      <c r="S13" s="54">
        <v>8.4636725644600066</v>
      </c>
      <c r="T13" s="54">
        <v>10.788297692871961</v>
      </c>
      <c r="U13" s="55">
        <v>8.7433484877826491</v>
      </c>
      <c r="V13" s="68" t="str">
        <f t="shared" si="0"/>
        <v xml:space="preserve">    3.9457118429496, 4.85259501611341, 4.43468944991481, 5.48100295746765, 8.46367256446001, 10.788297692872, 8.74334848778265,</v>
      </c>
    </row>
    <row r="14" spans="1:22" ht="15.75" customHeight="1" thickBot="1" x14ac:dyDescent="0.25">
      <c r="A14" s="80" t="s">
        <v>18</v>
      </c>
      <c r="B14" s="81"/>
      <c r="C14" s="53">
        <v>93.004922187908207</v>
      </c>
      <c r="D14" s="54">
        <v>91.518502178507859</v>
      </c>
      <c r="E14" s="54">
        <v>89.729420958082102</v>
      </c>
      <c r="F14" s="54">
        <v>83.348607398564567</v>
      </c>
      <c r="G14" s="54">
        <v>74.087719905304837</v>
      </c>
      <c r="H14" s="54">
        <v>57.917332041511322</v>
      </c>
      <c r="I14" s="55">
        <v>48.007794185070807</v>
      </c>
      <c r="J14" s="18" cm="1">
        <f t="array" ref="J14">-SUMPRODUCT((D1:H1-C1:G1)*(C14:G14+D14:H14)/2)</f>
        <v>77.501290236074709</v>
      </c>
      <c r="K14" s="18" cm="1">
        <f t="array" ref="K14">-SUMPRODUCT((D1:I1-C1:H1)*(C14:H14+D14:I14)/2)</f>
        <v>80.14941839173926</v>
      </c>
      <c r="L14" s="68" t="str">
        <f>"    "&amp;_xlfn.TEXTJOIN(", ",TRUE,C14:I14)&amp;","</f>
        <v xml:space="preserve">    93.0049221879082, 91.5185021785079, 89.7294209580821, 83.3486073985646, 74.0877199053048, 57.9173320415113, 48.0077941850708,</v>
      </c>
      <c r="M14" s="80" t="s">
        <v>18</v>
      </c>
      <c r="N14" s="81"/>
      <c r="O14" s="53">
        <v>3.690401528555848</v>
      </c>
      <c r="P14" s="54">
        <v>4.2469367469027457</v>
      </c>
      <c r="Q14" s="54">
        <v>4.4611096369834957</v>
      </c>
      <c r="R14" s="54">
        <v>5.4089286426803449</v>
      </c>
      <c r="S14" s="54">
        <v>9.092124974067179</v>
      </c>
      <c r="T14" s="54">
        <v>10.83557708581068</v>
      </c>
      <c r="U14" s="55">
        <v>9.2904800440053528</v>
      </c>
      <c r="V14" s="68" t="str">
        <f t="shared" si="0"/>
        <v xml:space="preserve">    3.69040152855585, 4.24693674690275, 4.4611096369835, 5.40892864268034, 9.09212497406718, 10.8355770858107, 9.29048004400535,</v>
      </c>
    </row>
    <row r="15" spans="1:22" ht="15.75" customHeight="1" thickBot="1" x14ac:dyDescent="0.25">
      <c r="A15" s="80" t="s">
        <v>19</v>
      </c>
      <c r="B15" s="81"/>
      <c r="C15" s="56">
        <v>93.123279613145442</v>
      </c>
      <c r="D15" s="57">
        <v>91.674385879923975</v>
      </c>
      <c r="E15" s="57">
        <v>89.698688281617194</v>
      </c>
      <c r="F15" s="57">
        <v>84.957067102656595</v>
      </c>
      <c r="G15" s="57">
        <v>75.939082518014857</v>
      </c>
      <c r="H15" s="57">
        <v>59.995092229748238</v>
      </c>
      <c r="I15" s="58">
        <v>48.440303693515233</v>
      </c>
      <c r="J15" s="18" cm="1">
        <f t="array" ref="J15">-SUMPRODUCT((D1:H1-C1:G1)*(C15:G15+D15:H15)/2)</f>
        <v>78.078434213675436</v>
      </c>
      <c r="K15" s="18" cm="1">
        <f t="array" ref="K15">-SUMPRODUCT((D1:I1-C1:H1)*(C15:H15+D15:I15)/2)</f>
        <v>80.789319111757024</v>
      </c>
      <c r="L15" s="68" t="str">
        <f>"    "&amp;_xlfn.TEXTJOIN(", ",TRUE,C15:I15)&amp;","</f>
        <v xml:space="preserve">    93.1232796131454, 91.674385879924, 89.6986882816172, 84.9570671026566, 75.9390825180149, 59.9950922297482, 48.4403036935152,</v>
      </c>
      <c r="M15" s="80" t="s">
        <v>19</v>
      </c>
      <c r="N15" s="81"/>
      <c r="O15" s="56">
        <v>3.8088682011350912</v>
      </c>
      <c r="P15" s="57">
        <v>4.4783864386850611</v>
      </c>
      <c r="Q15" s="57">
        <v>5.0849840192173117</v>
      </c>
      <c r="R15" s="57">
        <v>5.0366327026230584</v>
      </c>
      <c r="S15" s="57">
        <v>7.6643798786674449</v>
      </c>
      <c r="T15" s="57">
        <v>10.05146904627655</v>
      </c>
      <c r="U15" s="58">
        <v>9.821397671709315</v>
      </c>
      <c r="V15" s="68" t="str">
        <f t="shared" si="0"/>
        <v xml:space="preserve">    3.80886820113509, 4.47838643868506, 5.08498401921731, 5.03663270262306, 7.66437987866744, 10.0514690462765, 9.82139767170931,</v>
      </c>
    </row>
    <row r="16" spans="1:22" ht="15" thickBo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69"/>
      <c r="M16" s="22"/>
      <c r="N16" s="22"/>
      <c r="O16" s="22"/>
      <c r="P16" s="22"/>
      <c r="Q16" s="22"/>
      <c r="R16" s="22"/>
      <c r="S16" s="22"/>
      <c r="T16" s="22"/>
      <c r="U16" s="22"/>
      <c r="V16" s="69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0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0"/>
    </row>
    <row r="18" spans="1:22" ht="15.75" thickBot="1" x14ac:dyDescent="0.25">
      <c r="A18" s="73" t="s">
        <v>20</v>
      </c>
      <c r="B18" s="75"/>
      <c r="C18" s="75"/>
      <c r="D18" s="75"/>
      <c r="E18" s="75"/>
      <c r="F18" s="75"/>
      <c r="G18" s="75"/>
      <c r="H18" s="75"/>
      <c r="I18" s="74"/>
      <c r="J18" s="14"/>
      <c r="K18" s="14"/>
      <c r="L18" s="70"/>
      <c r="M18" s="73" t="s">
        <v>20</v>
      </c>
      <c r="N18" s="75"/>
      <c r="O18" s="75"/>
      <c r="P18" s="75"/>
      <c r="Q18" s="75"/>
      <c r="R18" s="75"/>
      <c r="S18" s="75"/>
      <c r="T18" s="75"/>
      <c r="U18" s="74"/>
      <c r="V18" s="70"/>
    </row>
    <row r="19" spans="1:22" ht="15.75" thickBot="1" x14ac:dyDescent="0.25">
      <c r="A19" s="73" t="s">
        <v>6</v>
      </c>
      <c r="B19" s="74"/>
      <c r="C19" s="24">
        <v>92.567111769713335</v>
      </c>
      <c r="D19" s="24">
        <v>90.835858608343599</v>
      </c>
      <c r="E19" s="24">
        <v>89.217505339533233</v>
      </c>
      <c r="F19" s="24">
        <v>83.237245964288078</v>
      </c>
      <c r="G19" s="24">
        <v>75.380430844191011</v>
      </c>
      <c r="H19" s="24">
        <v>58.994367187597383</v>
      </c>
      <c r="I19" s="25">
        <v>43.622535641382179</v>
      </c>
      <c r="J19" s="23"/>
      <c r="K19" s="23"/>
      <c r="L19" s="70" t="str">
        <f>"    "&amp;_xlfn.TEXTJOIN(", ",TRUE,C19:I19)&amp;","</f>
        <v xml:space="preserve">    92.5671117697133, 90.8358586083436, 89.2175053395332, 83.2372459642881, 75.380430844191, 58.9943671875974, 43.6225356413822,</v>
      </c>
      <c r="M19" s="73" t="s">
        <v>2</v>
      </c>
      <c r="N19" s="74"/>
      <c r="O19" s="26">
        <v>3.88093621561358</v>
      </c>
      <c r="P19" s="24">
        <v>4.8164746829677396</v>
      </c>
      <c r="Q19" s="24">
        <v>5.2250608386616522</v>
      </c>
      <c r="R19" s="24">
        <v>5.6675721086724113</v>
      </c>
      <c r="S19" s="24">
        <v>8.3263283482936075</v>
      </c>
      <c r="T19" s="24">
        <v>10.49020927094638</v>
      </c>
      <c r="U19" s="25">
        <v>11.060437347759546</v>
      </c>
      <c r="V19" s="70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3" t="s">
        <v>7</v>
      </c>
      <c r="B20" s="74"/>
      <c r="C20" s="24">
        <v>92.866950218042462</v>
      </c>
      <c r="D20" s="24">
        <v>91.242690764745561</v>
      </c>
      <c r="E20" s="24">
        <v>90.137053227698445</v>
      </c>
      <c r="F20" s="24">
        <v>86.080152926613408</v>
      </c>
      <c r="G20" s="24">
        <v>77.410217255196784</v>
      </c>
      <c r="H20" s="24">
        <v>59.676194764980139</v>
      </c>
      <c r="I20" s="25">
        <v>46.395490419404197</v>
      </c>
      <c r="J20" s="23"/>
      <c r="K20" s="23"/>
      <c r="L20" s="70" t="str">
        <f>"    "&amp;_xlfn.TEXTJOIN(", ",TRUE,C20:I20)&amp;","</f>
        <v xml:space="preserve">    92.8669502180425, 91.2426907647456, 90.1370532276984, 86.0801529266134, 77.4102172551968, 59.6761947649801, 46.3954904194042,</v>
      </c>
      <c r="M20" s="73" t="s">
        <v>7</v>
      </c>
      <c r="N20" s="74"/>
      <c r="O20" s="24">
        <v>3.8319643020864191</v>
      </c>
      <c r="P20" s="24">
        <v>4.3603246705255447</v>
      </c>
      <c r="Q20" s="24">
        <v>4.7987735191879262</v>
      </c>
      <c r="R20" s="24">
        <v>5.1262965367330251</v>
      </c>
      <c r="S20" s="24">
        <v>7.087258799823358</v>
      </c>
      <c r="T20" s="24">
        <v>9.7457736576346736</v>
      </c>
      <c r="U20" s="25">
        <v>10.021578856839133</v>
      </c>
      <c r="V20" s="70" t="str">
        <f t="shared" ref="V20:V32" si="1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3" t="s">
        <v>12</v>
      </c>
      <c r="B21" s="74"/>
      <c r="C21" s="29">
        <v>87.268396410214976</v>
      </c>
      <c r="D21" s="30">
        <v>87.256428398686779</v>
      </c>
      <c r="E21" s="30">
        <v>87.822106304170404</v>
      </c>
      <c r="F21" s="30">
        <v>87.68072644235157</v>
      </c>
      <c r="G21" s="30">
        <v>87.144879367185226</v>
      </c>
      <c r="H21" s="30">
        <v>74.976567886515753</v>
      </c>
      <c r="I21" s="31">
        <v>46.41754739488244</v>
      </c>
      <c r="J21" s="23"/>
      <c r="K21" s="23"/>
      <c r="L21" s="70" t="str">
        <f t="shared" ref="L21:L27" si="2">"    "&amp;_xlfn.TEXTJOIN(", ",TRUE,C21:I21)&amp;","</f>
        <v xml:space="preserve">    87.268396410215, 87.2564283986868, 87.8221063041704, 87.6807264423516, 87.1448793671852, 74.9765678865158, 46.4175473948824,</v>
      </c>
      <c r="M21" s="73" t="s">
        <v>12</v>
      </c>
      <c r="N21" s="74"/>
      <c r="O21" s="29">
        <v>2.610595868561878</v>
      </c>
      <c r="P21" s="30">
        <v>2.3209805270224559</v>
      </c>
      <c r="Q21" s="30">
        <v>2.4426244152699921</v>
      </c>
      <c r="R21" s="30">
        <v>2.2821255442986761</v>
      </c>
      <c r="S21" s="30">
        <v>2.523131741400912</v>
      </c>
      <c r="T21" s="30">
        <v>3.7626100419371111</v>
      </c>
      <c r="U21" s="31">
        <v>4.1161081119796732</v>
      </c>
      <c r="V21" s="70" t="str">
        <f t="shared" si="1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3" t="s">
        <v>21</v>
      </c>
      <c r="B22" s="75"/>
      <c r="C22" s="75"/>
      <c r="D22" s="75"/>
      <c r="E22" s="75"/>
      <c r="F22" s="75"/>
      <c r="G22" s="75"/>
      <c r="H22" s="75"/>
      <c r="I22" s="74"/>
      <c r="J22" s="23"/>
      <c r="K22" s="23"/>
      <c r="L22" s="70"/>
      <c r="M22" s="73" t="s">
        <v>21</v>
      </c>
      <c r="N22" s="75"/>
      <c r="O22" s="75"/>
      <c r="P22" s="75"/>
      <c r="Q22" s="75"/>
      <c r="R22" s="75"/>
      <c r="S22" s="75"/>
      <c r="T22" s="75"/>
      <c r="U22" s="74"/>
      <c r="V22" s="70"/>
    </row>
    <row r="23" spans="1:22" ht="15.75" thickBot="1" x14ac:dyDescent="0.25">
      <c r="A23" s="27" t="s">
        <v>13</v>
      </c>
      <c r="B23" s="20" t="s">
        <v>8</v>
      </c>
      <c r="C23" s="41">
        <v>92.816471098787034</v>
      </c>
      <c r="D23" s="42">
        <v>91.850472703982589</v>
      </c>
      <c r="E23" s="42">
        <v>90.653230394692173</v>
      </c>
      <c r="F23" s="42">
        <v>84.416859416752857</v>
      </c>
      <c r="G23" s="42">
        <v>73.431270391760961</v>
      </c>
      <c r="H23" s="42">
        <v>56.813579330872663</v>
      </c>
      <c r="I23" s="43">
        <v>44.359058459799392</v>
      </c>
      <c r="J23" s="23"/>
      <c r="K23" s="23"/>
      <c r="L23" s="70" t="str">
        <f t="shared" si="2"/>
        <v xml:space="preserve">    92.816471098787, 91.8504727039826, 90.6532303946922, 84.4168594167529, 73.431270391761, 56.8135793308727, 44.3590584597994,</v>
      </c>
      <c r="M23" s="27" t="s">
        <v>13</v>
      </c>
      <c r="N23" s="20" t="s">
        <v>8</v>
      </c>
      <c r="O23" s="41">
        <v>3.9195049239387409</v>
      </c>
      <c r="P23" s="42">
        <v>4.292434908365931</v>
      </c>
      <c r="Q23" s="42">
        <v>4.4422017703870624</v>
      </c>
      <c r="R23" s="42">
        <v>5.2110072101571907</v>
      </c>
      <c r="S23" s="42">
        <v>9.3320091549033908</v>
      </c>
      <c r="T23" s="42">
        <v>11.69858688470579</v>
      </c>
      <c r="U23" s="43">
        <v>13.11291130735334</v>
      </c>
      <c r="V23" s="70" t="str">
        <f t="shared" si="1"/>
        <v xml:space="preserve">    3.91950492393874, 4.29243490836593, 4.44220177038706, 5.21100721015719, 9.33200915490339, 11.6985868847058, 13.1129113073533,</v>
      </c>
    </row>
    <row r="24" spans="1:22" ht="15.75" thickBot="1" x14ac:dyDescent="0.25">
      <c r="A24" s="27" t="s">
        <v>14</v>
      </c>
      <c r="B24" s="20" t="s">
        <v>8</v>
      </c>
      <c r="C24" s="44">
        <v>92.866341350364337</v>
      </c>
      <c r="D24" s="45">
        <v>92.195041602593605</v>
      </c>
      <c r="E24" s="45">
        <v>91.14075611988855</v>
      </c>
      <c r="F24" s="45">
        <v>85.728280920432184</v>
      </c>
      <c r="G24" s="45">
        <v>78.941624160166981</v>
      </c>
      <c r="H24" s="45">
        <v>57.917509485067633</v>
      </c>
      <c r="I24" s="46">
        <v>45.691224322843837</v>
      </c>
      <c r="J24" s="23"/>
      <c r="K24" s="23"/>
      <c r="L24" s="70" t="str">
        <f t="shared" si="2"/>
        <v xml:space="preserve">    92.8663413503643, 92.1950416025936, 91.1407561198886, 85.7282809204322, 78.941624160167, 57.9175094850676, 45.6912243228438,</v>
      </c>
      <c r="M24" s="27" t="s">
        <v>14</v>
      </c>
      <c r="N24" s="20" t="s">
        <v>8</v>
      </c>
      <c r="O24" s="44">
        <v>3.8021889268793778</v>
      </c>
      <c r="P24" s="45">
        <v>3.8993113157938661</v>
      </c>
      <c r="Q24" s="45">
        <v>4.2139949602371143</v>
      </c>
      <c r="R24" s="45">
        <v>5.1800319382090629</v>
      </c>
      <c r="S24" s="45">
        <v>6.6021740228392662</v>
      </c>
      <c r="T24" s="45">
        <v>11.7571441620165</v>
      </c>
      <c r="U24" s="46">
        <v>11.337157421806079</v>
      </c>
      <c r="V24" s="70" t="str">
        <f t="shared" si="1"/>
        <v xml:space="preserve">    3.80218892687938, 3.89931131579387, 4.21399496023711, 5.18003193820906, 6.60217402283927, 11.7571441620165, 11.3371574218061,</v>
      </c>
    </row>
    <row r="25" spans="1:22" ht="15.75" thickBot="1" x14ac:dyDescent="0.25">
      <c r="A25" s="27" t="s">
        <v>15</v>
      </c>
      <c r="B25" s="20" t="s">
        <v>8</v>
      </c>
      <c r="C25" s="44">
        <v>93.025700174714004</v>
      </c>
      <c r="D25" s="45">
        <v>92.127028790276185</v>
      </c>
      <c r="E25" s="45">
        <v>91.468005529468556</v>
      </c>
      <c r="F25" s="45">
        <v>86.568650595290592</v>
      </c>
      <c r="G25" s="45">
        <v>81.305278905232328</v>
      </c>
      <c r="H25" s="45">
        <v>62.553727692330739</v>
      </c>
      <c r="I25" s="46">
        <v>45.44120643987192</v>
      </c>
      <c r="J25" s="23"/>
      <c r="K25" s="23"/>
      <c r="L25" s="70" t="str">
        <f t="shared" si="2"/>
        <v xml:space="preserve">    93.025700174714, 92.1270287902762, 91.4680055294686, 86.5686505952906, 81.3052789052323, 62.5537276923307, 45.4412064398719,</v>
      </c>
      <c r="M25" s="27" t="s">
        <v>15</v>
      </c>
      <c r="N25" s="20" t="s">
        <v>8</v>
      </c>
      <c r="O25" s="44">
        <v>3.5927513712231369</v>
      </c>
      <c r="P25" s="45">
        <v>3.8092533152995278</v>
      </c>
      <c r="Q25" s="45">
        <v>4.0233583162315956</v>
      </c>
      <c r="R25" s="45">
        <v>4.8351194519097032</v>
      </c>
      <c r="S25" s="45">
        <v>6.1748879893686057</v>
      </c>
      <c r="T25" s="45">
        <v>8.7982780158881884</v>
      </c>
      <c r="U25" s="46">
        <v>10.11649270837748</v>
      </c>
      <c r="V25" s="70" t="str">
        <f t="shared" si="1"/>
        <v xml:space="preserve">    3.59275137122314, 3.80925331529953, 4.0233583162316, 4.8351194519097, 6.17488798936861, 8.79827801588819, 10.1164927083775,</v>
      </c>
    </row>
    <row r="26" spans="1:22" ht="15.75" thickBot="1" x14ac:dyDescent="0.25">
      <c r="A26" s="27" t="s">
        <v>16</v>
      </c>
      <c r="B26" s="20" t="s">
        <v>8</v>
      </c>
      <c r="C26" s="44">
        <v>92.833222640939212</v>
      </c>
      <c r="D26" s="45">
        <v>92.501693082282117</v>
      </c>
      <c r="E26" s="45">
        <v>91.693368103474413</v>
      </c>
      <c r="F26" s="45">
        <v>87.496481262009624</v>
      </c>
      <c r="G26" s="45">
        <v>83.387512480324247</v>
      </c>
      <c r="H26" s="45">
        <v>64.651840375766142</v>
      </c>
      <c r="I26" s="46">
        <v>48.434162300555158</v>
      </c>
      <c r="J26" s="23"/>
      <c r="K26" s="23"/>
      <c r="L26" s="70" t="str">
        <f t="shared" si="2"/>
        <v xml:space="preserve">    92.8332226409392, 92.5016930822821, 91.6933681034744, 87.4964812620096, 83.3875124803242, 64.6518403757661, 48.4341623005552,</v>
      </c>
      <c r="M26" s="27" t="s">
        <v>16</v>
      </c>
      <c r="N26" s="20" t="s">
        <v>8</v>
      </c>
      <c r="O26" s="44">
        <v>3.6672800213190229</v>
      </c>
      <c r="P26" s="45">
        <v>3.7951386500659972</v>
      </c>
      <c r="Q26" s="45">
        <v>3.867380163380246</v>
      </c>
      <c r="R26" s="45">
        <v>4.6201685745606511</v>
      </c>
      <c r="S26" s="45">
        <v>5.1674862888873268</v>
      </c>
      <c r="T26" s="45">
        <v>8.697758372815338</v>
      </c>
      <c r="U26" s="46">
        <v>10.100756867093001</v>
      </c>
      <c r="V26" s="70" t="str">
        <f t="shared" si="1"/>
        <v xml:space="preserve">    3.66728002131902, 3.795138650066, 3.86738016338025, 4.62016857456065, 5.16748628888733, 8.69775837281534, 10.100756867093,</v>
      </c>
    </row>
    <row r="27" spans="1:22" ht="15.75" thickBot="1" x14ac:dyDescent="0.25">
      <c r="A27" s="28" t="s">
        <v>17</v>
      </c>
      <c r="B27" s="20" t="s">
        <v>8</v>
      </c>
      <c r="C27" s="47">
        <v>92.834048073287661</v>
      </c>
      <c r="D27" s="48">
        <v>92.300779542220269</v>
      </c>
      <c r="E27" s="48">
        <v>91.813660629910586</v>
      </c>
      <c r="F27" s="48">
        <v>89.094094712903143</v>
      </c>
      <c r="G27" s="48">
        <v>82.98761633774599</v>
      </c>
      <c r="H27" s="48">
        <v>65.694526542014884</v>
      </c>
      <c r="I27" s="49">
        <v>55.086086668973273</v>
      </c>
      <c r="J27" s="23"/>
      <c r="K27" s="23"/>
      <c r="L27" s="70" t="str">
        <f t="shared" si="2"/>
        <v xml:space="preserve">    92.8340480732877, 92.3007795422203, 91.8136606299106, 89.0940947129031, 82.987616337746, 65.6945265420149, 55.0860866689733,</v>
      </c>
      <c r="M27" s="28" t="s">
        <v>17</v>
      </c>
      <c r="N27" s="20" t="s">
        <v>8</v>
      </c>
      <c r="O27" s="47">
        <v>3.7010380851264171</v>
      </c>
      <c r="P27" s="48">
        <v>3.6753314812732341</v>
      </c>
      <c r="Q27" s="48">
        <v>3.703790718817165</v>
      </c>
      <c r="R27" s="48">
        <v>4.1693093031886459</v>
      </c>
      <c r="S27" s="48">
        <v>6.2904206585871423</v>
      </c>
      <c r="T27" s="48">
        <v>7.6154332523819193</v>
      </c>
      <c r="U27" s="49">
        <v>9.0603262785692298</v>
      </c>
      <c r="V27" s="70" t="str">
        <f t="shared" si="1"/>
        <v xml:space="preserve">    3.70103808512642, 3.67533148127323, 3.70379071881717, 4.16930930318865, 6.29042065858714, 7.61543325238192, 9.06032627856923,</v>
      </c>
    </row>
    <row r="28" spans="1:22" ht="15.75" thickBot="1" x14ac:dyDescent="0.25">
      <c r="A28" s="73" t="s">
        <v>22</v>
      </c>
      <c r="B28" s="75"/>
      <c r="C28" s="76"/>
      <c r="D28" s="76"/>
      <c r="E28" s="76"/>
      <c r="F28" s="76"/>
      <c r="G28" s="76"/>
      <c r="H28" s="76"/>
      <c r="I28" s="77"/>
      <c r="J28" s="23"/>
      <c r="K28" s="23"/>
      <c r="L28" s="70"/>
      <c r="M28" s="73" t="s">
        <v>22</v>
      </c>
      <c r="N28" s="75"/>
      <c r="O28" s="76"/>
      <c r="P28" s="76"/>
      <c r="Q28" s="76"/>
      <c r="R28" s="76"/>
      <c r="S28" s="76"/>
      <c r="T28" s="76"/>
      <c r="U28" s="77"/>
      <c r="V28" s="70"/>
    </row>
    <row r="29" spans="1:22" ht="14.25" customHeight="1" thickBot="1" x14ac:dyDescent="0.25">
      <c r="A29" s="73" t="s">
        <v>9</v>
      </c>
      <c r="B29" s="74"/>
      <c r="C29" s="59">
        <v>93.403798109785029</v>
      </c>
      <c r="D29" s="60">
        <v>91.51700700493744</v>
      </c>
      <c r="E29" s="60">
        <v>89.749880462689262</v>
      </c>
      <c r="F29" s="60">
        <v>83.99730958119234</v>
      </c>
      <c r="G29" s="60">
        <v>74.394962965986878</v>
      </c>
      <c r="H29" s="60">
        <v>58.095582470498513</v>
      </c>
      <c r="I29" s="61">
        <v>44.434812706207254</v>
      </c>
      <c r="J29" s="23"/>
      <c r="K29" s="23"/>
      <c r="L29" s="70" t="str">
        <f t="shared" ref="L29:L32" si="3">"    "&amp;_xlfn.TEXTJOIN(", ",TRUE,C29:I29)&amp;","</f>
        <v xml:space="preserve">    93.403798109785, 91.5170070049374, 89.7498804626893, 83.9973095811923, 74.3949629659869, 58.0955824704985, 44.4348127062073,</v>
      </c>
      <c r="M29" s="73" t="s">
        <v>9</v>
      </c>
      <c r="N29" s="74"/>
      <c r="O29" s="59">
        <v>3.9553866501853321</v>
      </c>
      <c r="P29" s="60">
        <v>4.517630835861226</v>
      </c>
      <c r="Q29" s="60">
        <v>5.2125425794506972</v>
      </c>
      <c r="R29" s="60">
        <v>5.6477461387684551</v>
      </c>
      <c r="S29" s="60">
        <v>8.6090564713117175</v>
      </c>
      <c r="T29" s="60">
        <v>11.357157347254571</v>
      </c>
      <c r="U29" s="61">
        <v>9.3757621724255777</v>
      </c>
      <c r="V29" s="70" t="str">
        <f t="shared" si="1"/>
        <v xml:space="preserve">    3.95538665018533, 4.51763083586123, 5.2125425794507, 5.64774613876846, 8.60905647131172, 11.3571573472546, 9.37576217242558,</v>
      </c>
    </row>
    <row r="30" spans="1:22" ht="15.75" thickBot="1" x14ac:dyDescent="0.25">
      <c r="A30" s="73" t="s">
        <v>10</v>
      </c>
      <c r="B30" s="74"/>
      <c r="C30" s="62">
        <v>92.778947400409621</v>
      </c>
      <c r="D30" s="63">
        <v>91.450368996373655</v>
      </c>
      <c r="E30" s="63">
        <v>89.879480954542075</v>
      </c>
      <c r="F30" s="63">
        <v>84.748756470336986</v>
      </c>
      <c r="G30" s="63">
        <v>75.627608782580538</v>
      </c>
      <c r="H30" s="63">
        <v>58.300265665116903</v>
      </c>
      <c r="I30" s="64">
        <v>48.584106437626268</v>
      </c>
      <c r="J30" s="23"/>
      <c r="K30" s="23"/>
      <c r="L30" s="70" t="str">
        <f t="shared" si="3"/>
        <v xml:space="preserve">    92.7789474004096, 91.4503689963737, 89.8794809545421, 84.748756470337, 75.6276087825805, 58.3002656651169, 48.5841064376263,</v>
      </c>
      <c r="M30" s="73" t="s">
        <v>10</v>
      </c>
      <c r="N30" s="74"/>
      <c r="O30" s="62">
        <v>4.3743918396131134</v>
      </c>
      <c r="P30" s="63">
        <v>5.1779143655465321</v>
      </c>
      <c r="Q30" s="63">
        <v>4.8362705721377752</v>
      </c>
      <c r="R30" s="63">
        <v>5.6797782301447892</v>
      </c>
      <c r="S30" s="63">
        <v>9.0190902977959446</v>
      </c>
      <c r="T30" s="63">
        <v>11.000258135261941</v>
      </c>
      <c r="U30" s="64">
        <v>9.2918474149187738</v>
      </c>
      <c r="V30" s="70" t="str">
        <f t="shared" si="1"/>
        <v xml:space="preserve">    4.37439183961311, 5.17791436554653, 4.83627057213778, 5.67977823014479, 9.01909029779594, 11.0002581352619, 9.29184741491877,</v>
      </c>
    </row>
    <row r="31" spans="1:22" ht="14.25" customHeight="1" thickBot="1" x14ac:dyDescent="0.25">
      <c r="A31" s="73" t="s">
        <v>18</v>
      </c>
      <c r="B31" s="74"/>
      <c r="C31" s="62">
        <v>92.492055194421354</v>
      </c>
      <c r="D31" s="63">
        <v>91.055738083245984</v>
      </c>
      <c r="E31" s="63">
        <v>89.241264887762341</v>
      </c>
      <c r="F31" s="63">
        <v>82.713601809643421</v>
      </c>
      <c r="G31" s="63">
        <v>73.133677048774885</v>
      </c>
      <c r="H31" s="63">
        <v>56.229205901331248</v>
      </c>
      <c r="I31" s="64">
        <v>43.695396708102962</v>
      </c>
      <c r="J31" s="23"/>
      <c r="K31" s="23"/>
      <c r="L31" s="70" t="str">
        <f t="shared" si="3"/>
        <v xml:space="preserve">    92.4920551944214, 91.055738083246, 89.2412648877623, 82.7136018096434, 73.1336770487749, 56.2292059013312, 43.695396708103,</v>
      </c>
      <c r="M31" s="73" t="s">
        <v>18</v>
      </c>
      <c r="N31" s="74"/>
      <c r="O31" s="62">
        <v>4.0986250609792014</v>
      </c>
      <c r="P31" s="63">
        <v>4.5926443490712341</v>
      </c>
      <c r="Q31" s="63">
        <v>4.8521598807380544</v>
      </c>
      <c r="R31" s="63">
        <v>5.8188919126166327</v>
      </c>
      <c r="S31" s="63">
        <v>9.5088987825376563</v>
      </c>
      <c r="T31" s="63">
        <v>11.32839542788332</v>
      </c>
      <c r="U31" s="64">
        <v>10.62887090695313</v>
      </c>
      <c r="V31" s="70" t="str">
        <f t="shared" si="1"/>
        <v xml:space="preserve">    4.0986250609792, 4.59264434907123, 4.85215988073805, 5.81889191261663, 9.50889878253766, 11.3283954278833, 10.6288709069531,</v>
      </c>
    </row>
    <row r="32" spans="1:22" ht="15.75" thickBot="1" x14ac:dyDescent="0.25">
      <c r="A32" s="73" t="s">
        <v>19</v>
      </c>
      <c r="B32" s="74"/>
      <c r="C32" s="65">
        <v>92.657174075741665</v>
      </c>
      <c r="D32" s="66">
        <v>91.208050814372243</v>
      </c>
      <c r="E32" s="66">
        <v>89.170455678091372</v>
      </c>
      <c r="F32" s="66">
        <v>84.474616062770011</v>
      </c>
      <c r="G32" s="66">
        <v>75.066668593640316</v>
      </c>
      <c r="H32" s="66">
        <v>58.520340993368222</v>
      </c>
      <c r="I32" s="67">
        <v>44.786141592049418</v>
      </c>
      <c r="J32" s="23"/>
      <c r="K32" s="23"/>
      <c r="L32" s="70" t="str">
        <f t="shared" si="3"/>
        <v xml:space="preserve">    92.6571740757417, 91.2080508143722, 89.1704556780914, 84.47461606277, 75.0666685936403, 58.5203409933682, 44.7861415920494,</v>
      </c>
      <c r="M32" s="73" t="s">
        <v>19</v>
      </c>
      <c r="N32" s="74"/>
      <c r="O32" s="65">
        <v>4.2589004392769629</v>
      </c>
      <c r="P32" s="66">
        <v>4.8517186601265534</v>
      </c>
      <c r="Q32" s="66">
        <v>5.6717673083496472</v>
      </c>
      <c r="R32" s="66">
        <v>5.3079507961921779</v>
      </c>
      <c r="S32" s="66">
        <v>7.7884705615072454</v>
      </c>
      <c r="T32" s="66">
        <v>10.595563377926201</v>
      </c>
      <c r="U32" s="67">
        <v>10.945843294214329</v>
      </c>
      <c r="V32" s="70" t="str">
        <f t="shared" si="1"/>
        <v xml:space="preserve">    4.25890043927696, 4.85171866012655, 5.67176730834965, 5.30795079619218, 7.78847056150725, 10.5955633779262, 10.9458432942143,</v>
      </c>
    </row>
    <row r="34" spans="5:21" ht="15" x14ac:dyDescent="0.2">
      <c r="J34" s="2"/>
      <c r="K34" s="2"/>
      <c r="L34" s="71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1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15:N15"/>
    <mergeCell ref="A3:B3"/>
    <mergeCell ref="M3:N3"/>
    <mergeCell ref="A19:B19"/>
    <mergeCell ref="M19:N19"/>
    <mergeCell ref="A4:B4"/>
    <mergeCell ref="M4:N4"/>
    <mergeCell ref="A12:B12"/>
    <mergeCell ref="A13:B13"/>
    <mergeCell ref="A11:I11"/>
    <mergeCell ref="A5:I5"/>
    <mergeCell ref="M11:U11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</mergeCells>
  <phoneticPr fontId="1" type="noConversion"/>
  <conditionalFormatting sqref="C3:I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 C6:I10 C3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2026-04-29T08:16:22Z</dcterms:modified>
</cp:coreProperties>
</file>