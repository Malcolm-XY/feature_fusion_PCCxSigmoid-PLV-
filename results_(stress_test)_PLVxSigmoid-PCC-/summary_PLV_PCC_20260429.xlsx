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RnD_Repo\Research_Engineeirng\feature_fusion_PCCxSigmoid-PLV-\results_(stress_test)_PLVxSigmoid-PCC-\"/>
    </mc:Choice>
  </mc:AlternateContent>
  <xr:revisionPtr revIDLastSave="0" documentId="13_ncr:1_{9F1E376E-B490-4C43-A675-1B867D2B0D65}" xr6:coauthVersionLast="47" xr6:coauthVersionMax="47" xr10:uidLastSave="{00000000-0000-0000-0000-000000000000}"/>
  <bookViews>
    <workbookView xWindow="-120" yWindow="-120" windowWidth="29040" windowHeight="15720" tabRatio="660" xr2:uid="{00000000-000D-0000-FFFF-FFFF00000000}"/>
  </bookViews>
  <sheets>
    <sheet name="nm_basis_F, nm_modifier_F" sheetId="8" r:id="rId1"/>
    <sheet name="nm_basis_T, nm_modifier_F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32" i="5" l="1"/>
  <c r="V31" i="5"/>
  <c r="V30" i="5"/>
  <c r="V29" i="5"/>
  <c r="V27" i="5"/>
  <c r="V26" i="5"/>
  <c r="V25" i="5"/>
  <c r="V24" i="5"/>
  <c r="V23" i="5"/>
  <c r="V21" i="5"/>
  <c r="V20" i="5"/>
  <c r="V19" i="5"/>
  <c r="V15" i="5"/>
  <c r="V14" i="5"/>
  <c r="V13" i="5"/>
  <c r="V12" i="5"/>
  <c r="V10" i="5"/>
  <c r="V9" i="5"/>
  <c r="V8" i="5"/>
  <c r="V7" i="5"/>
  <c r="V6" i="5"/>
  <c r="V4" i="5"/>
  <c r="V3" i="5"/>
  <c r="L32" i="5"/>
  <c r="L31" i="5"/>
  <c r="L30" i="5"/>
  <c r="L29" i="5"/>
  <c r="L27" i="5"/>
  <c r="L26" i="5"/>
  <c r="L25" i="5"/>
  <c r="L24" i="5"/>
  <c r="L23" i="5"/>
  <c r="L21" i="5"/>
  <c r="L20" i="5"/>
  <c r="L19" i="5"/>
  <c r="L15" i="5"/>
  <c r="L14" i="5"/>
  <c r="L13" i="5"/>
  <c r="L12" i="5"/>
  <c r="L10" i="5"/>
  <c r="L9" i="5"/>
  <c r="L8" i="5"/>
  <c r="L7" i="5"/>
  <c r="L6" i="5"/>
  <c r="L4" i="5"/>
  <c r="L3" i="5"/>
  <c r="V21" i="8"/>
  <c r="V23" i="8"/>
  <c r="V24" i="8"/>
  <c r="V25" i="8"/>
  <c r="V26" i="8"/>
  <c r="V27" i="8"/>
  <c r="V4" i="8"/>
  <c r="V6" i="8"/>
  <c r="V7" i="8"/>
  <c r="V8" i="8"/>
  <c r="V9" i="8"/>
  <c r="V10" i="8"/>
  <c r="L21" i="8"/>
  <c r="L23" i="8"/>
  <c r="L24" i="8"/>
  <c r="L25" i="8"/>
  <c r="L26" i="8"/>
  <c r="L27" i="8"/>
  <c r="L4" i="8"/>
  <c r="L6" i="8"/>
  <c r="L7" i="8"/>
  <c r="L8" i="8"/>
  <c r="L9" i="8"/>
  <c r="L10" i="8"/>
  <c r="V32" i="8"/>
  <c r="L32" i="8"/>
  <c r="V31" i="8"/>
  <c r="L31" i="8"/>
  <c r="V30" i="8"/>
  <c r="L30" i="8"/>
  <c r="V29" i="8"/>
  <c r="L29" i="8"/>
  <c r="V20" i="8"/>
  <c r="L20" i="8"/>
  <c r="V19" i="8"/>
  <c r="L19" i="8"/>
  <c r="V15" i="8"/>
  <c r="L15" i="8"/>
  <c r="K15" i="8" a="1"/>
  <c r="K15" i="8" s="1"/>
  <c r="J15" i="8" a="1"/>
  <c r="J15" i="8" s="1"/>
  <c r="V14" i="8"/>
  <c r="L14" i="8"/>
  <c r="K14" i="8" a="1"/>
  <c r="K14" i="8" s="1"/>
  <c r="J14" i="8" a="1"/>
  <c r="J14" i="8" s="1"/>
  <c r="V13" i="8"/>
  <c r="L13" i="8"/>
  <c r="K13" i="8" a="1"/>
  <c r="K13" i="8" s="1"/>
  <c r="J13" i="8" a="1"/>
  <c r="J13" i="8" s="1"/>
  <c r="V12" i="8"/>
  <c r="L12" i="8"/>
  <c r="K12" i="8" a="1"/>
  <c r="K12" i="8" s="1"/>
  <c r="J12" i="8" a="1"/>
  <c r="J12" i="8" s="1"/>
  <c r="K10" i="8" a="1"/>
  <c r="K10" i="8" s="1"/>
  <c r="J10" i="8" a="1"/>
  <c r="J10" i="8" s="1"/>
  <c r="K9" i="8" a="1"/>
  <c r="K9" i="8" s="1"/>
  <c r="J9" i="8" a="1"/>
  <c r="J9" i="8" s="1"/>
  <c r="K8" i="8" a="1"/>
  <c r="K8" i="8" s="1"/>
  <c r="J8" i="8" a="1"/>
  <c r="J8" i="8" s="1"/>
  <c r="K7" i="8" a="1"/>
  <c r="K7" i="8" s="1"/>
  <c r="J7" i="8" a="1"/>
  <c r="J7" i="8" s="1"/>
  <c r="K6" i="8" a="1"/>
  <c r="K6" i="8" s="1"/>
  <c r="J6" i="8" a="1"/>
  <c r="J6" i="8" s="1"/>
  <c r="K4" i="8" a="1"/>
  <c r="K4" i="8" s="1"/>
  <c r="J4" i="8" a="1"/>
  <c r="J4" i="8" s="1"/>
  <c r="V3" i="8"/>
  <c r="L3" i="8"/>
  <c r="K3" i="8" a="1"/>
  <c r="K3" i="8" s="1"/>
  <c r="J3" i="8" a="1"/>
  <c r="J3" i="8" s="1"/>
  <c r="J4" i="5" a="1"/>
  <c r="J4" i="5" s="1"/>
  <c r="K4" i="5" a="1"/>
  <c r="K4" i="5" s="1"/>
  <c r="K6" i="5" a="1"/>
  <c r="K6" i="5" s="1"/>
  <c r="K9" i="5" a="1"/>
  <c r="K9" i="5" s="1"/>
  <c r="K8" i="5" a="1"/>
  <c r="K8" i="5" s="1"/>
  <c r="K7" i="5" a="1"/>
  <c r="K7" i="5" s="1"/>
  <c r="J9" i="5" a="1"/>
  <c r="J9" i="5" s="1"/>
  <c r="J8" i="5" a="1"/>
  <c r="J8" i="5" s="1"/>
  <c r="J7" i="5" a="1"/>
  <c r="J7" i="5" s="1"/>
  <c r="J6" i="5" a="1"/>
  <c r="J6" i="5" s="1"/>
  <c r="K10" i="5" a="1"/>
  <c r="K10" i="5" s="1"/>
  <c r="J10" i="5" a="1"/>
  <c r="J10" i="5" s="1"/>
  <c r="K13" i="5" a="1"/>
  <c r="K13" i="5" s="1"/>
  <c r="J13" i="5" a="1"/>
  <c r="J13" i="5" s="1"/>
  <c r="J15" i="5" a="1"/>
  <c r="J15" i="5" s="1"/>
  <c r="J14" i="5" a="1"/>
  <c r="J14" i="5" s="1"/>
  <c r="J12" i="5" a="1"/>
  <c r="J12" i="5" s="1"/>
  <c r="J3" i="5" a="1"/>
  <c r="J3" i="5" s="1"/>
  <c r="K15" i="5" a="1"/>
  <c r="K15" i="5" s="1"/>
  <c r="K14" i="5" a="1"/>
  <c r="K14" i="5" s="1"/>
  <c r="K12" i="5" a="1"/>
  <c r="K12" i="5" s="1"/>
  <c r="K3" i="5" a="1"/>
  <c r="K3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<sst xmlns="http://schemas.openxmlformats.org/spreadsheetml/2006/main" count="176" uniqueCount="23">
  <si>
    <t>Accuracy</t>
    <phoneticPr fontId="1" type="noConversion"/>
  </si>
  <si>
    <t>NRR</t>
    <phoneticPr fontId="1" type="noConversion"/>
  </si>
  <si>
    <t>Original FN</t>
    <phoneticPr fontId="1" type="noConversion"/>
  </si>
  <si>
    <t>Accuracy_Std</t>
    <phoneticPr fontId="1" type="noConversion"/>
  </si>
  <si>
    <t>F1 Score</t>
    <phoneticPr fontId="1" type="noConversion"/>
  </si>
  <si>
    <t>F1 Score_Std</t>
    <phoneticPr fontId="1" type="noConversion"/>
  </si>
  <si>
    <t>Original FN, PCC</t>
    <phoneticPr fontId="1" type="noConversion"/>
  </si>
  <si>
    <t>Original FN, PLV</t>
    <phoneticPr fontId="1" type="noConversion"/>
  </si>
  <si>
    <t>PG-AC</t>
    <phoneticPr fontId="1" type="noConversion"/>
  </si>
  <si>
    <t>Additive Fusion</t>
    <phoneticPr fontId="1" type="noConversion"/>
  </si>
  <si>
    <t>Multipicative Fusion</t>
    <phoneticPr fontId="1" type="noConversion"/>
  </si>
  <si>
    <t>AUC</t>
    <phoneticPr fontId="1" type="noConversion"/>
  </si>
  <si>
    <t>Original FN, PLI</t>
    <phoneticPr fontId="1" type="noConversion"/>
  </si>
  <si>
    <t>k=10, tp=30</t>
    <phoneticPr fontId="1" type="noConversion"/>
  </si>
  <si>
    <t>k=20, tp=30</t>
    <phoneticPr fontId="1" type="noConversion"/>
  </si>
  <si>
    <t>k=50, tp=30</t>
    <phoneticPr fontId="1" type="noConversion"/>
  </si>
  <si>
    <t>k=200, tp=30</t>
    <phoneticPr fontId="1" type="noConversion"/>
  </si>
  <si>
    <t>Heaviside, tp=30</t>
    <phoneticPr fontId="1" type="noConversion"/>
  </si>
  <si>
    <t>Splicing-1 (upper-lower triangular)</t>
    <phoneticPr fontId="1" type="noConversion"/>
  </si>
  <si>
    <t>Splicing-2 (diagonal blocking)</t>
    <phoneticPr fontId="1" type="noConversion"/>
  </si>
  <si>
    <t>Baselines</t>
    <phoneticPr fontId="1" type="noConversion"/>
  </si>
  <si>
    <t>Proposed: PC-AEC</t>
    <phoneticPr fontId="1" type="noConversion"/>
  </si>
  <si>
    <t>Competitors: PCC &amp; PLI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</si>
</sst>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91">
    <xf numFmtId="0" fontId="0" fillId="0" borderId="0" xfId="0"/>
    <xf numFmtId="0" fontId="2" fillId="0" borderId="0" xfId="0" applyFont="1"/>
    <xf numFmtId="0" fontId="3" fillId="0" borderId="0" xfId="0" applyFont="1" applyAlignment="1">
      <alignment vertical="top"/>
    </xf>
    <xf numFmtId="0" fontId="4" fillId="2" borderId="8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2" fillId="3" borderId="8" xfId="0" applyFont="1" applyFill="1" applyBorder="1"/>
    <xf numFmtId="0" fontId="2" fillId="3" borderId="10" xfId="0" applyFont="1" applyFill="1" applyBorder="1"/>
    <xf numFmtId="0" fontId="2" fillId="3" borderId="9" xfId="0" applyFont="1" applyFill="1" applyBorder="1"/>
    <xf numFmtId="0" fontId="2" fillId="2" borderId="10" xfId="0" applyFont="1" applyFill="1" applyBorder="1"/>
    <xf numFmtId="0" fontId="2" fillId="2" borderId="9" xfId="0" applyFont="1" applyFill="1" applyBorder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2" fillId="2" borderId="4" xfId="0" applyFont="1" applyFill="1" applyBorder="1"/>
    <xf numFmtId="0" fontId="2" fillId="2" borderId="13" xfId="0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0" fontId="2" fillId="2" borderId="7" xfId="0" applyFont="1" applyFill="1" applyBorder="1"/>
    <xf numFmtId="0" fontId="2" fillId="3" borderId="1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2" fillId="3" borderId="4" xfId="0" applyFont="1" applyFill="1" applyBorder="1"/>
    <xf numFmtId="0" fontId="2" fillId="3" borderId="13" xfId="0" applyFont="1" applyFill="1" applyBorder="1"/>
    <xf numFmtId="0" fontId="2" fillId="3" borderId="5" xfId="0" applyFont="1" applyFill="1" applyBorder="1"/>
    <xf numFmtId="0" fontId="2" fillId="3" borderId="6" xfId="0" applyFont="1" applyFill="1" applyBorder="1"/>
    <xf numFmtId="0" fontId="2" fillId="3" borderId="7" xfId="0" applyFont="1" applyFill="1" applyBorder="1"/>
    <xf numFmtId="0" fontId="2" fillId="2" borderId="8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2" borderId="0" xfId="0" applyFont="1" applyFill="1"/>
    <xf numFmtId="0" fontId="2" fillId="3" borderId="0" xfId="0" applyFont="1" applyFill="1"/>
    <xf numFmtId="0" fontId="2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2" fillId="0" borderId="0" xfId="0" applyFont="1" applyAlignment="1">
      <alignment horizontal="left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2" borderId="0" xfId="0" applyFont="1" applyFill="1" applyBorder="1"/>
    <xf numFmtId="0" fontId="2" fillId="3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16D2E-BE4A-4A1F-8425-1EB62294D197}">
  <dimension ref="A1:V44"/>
  <sheetViews>
    <sheetView tabSelected="1" zoomScaleNormal="100" workbookViewId="0"/>
  </sheetViews>
  <sheetFormatPr defaultRowHeight="14.25" x14ac:dyDescent="0.2"/>
  <cols>
    <col min="1" max="2" width="15" style="1" customWidth="1"/>
    <col min="3" max="11" width="9" style="1"/>
    <col min="12" max="12" width="9" style="76"/>
    <col min="13" max="14" width="15" style="1" customWidth="1"/>
    <col min="15" max="21" width="9" style="1"/>
    <col min="22" max="22" width="9" style="76"/>
    <col min="23" max="16384" width="9" style="1"/>
  </cols>
  <sheetData>
    <row r="1" spans="1:22" ht="15.75" thickBot="1" x14ac:dyDescent="0.25">
      <c r="A1" s="3" t="s">
        <v>0</v>
      </c>
      <c r="B1" s="4" t="s">
        <v>1</v>
      </c>
      <c r="C1" s="11">
        <v>1</v>
      </c>
      <c r="D1" s="11">
        <v>0.75</v>
      </c>
      <c r="E1" s="11">
        <v>0.5</v>
      </c>
      <c r="F1" s="11">
        <v>0.3</v>
      </c>
      <c r="G1" s="11">
        <v>0.2</v>
      </c>
      <c r="H1" s="11">
        <v>0.1</v>
      </c>
      <c r="I1" s="12">
        <v>0.05</v>
      </c>
      <c r="J1" s="13" t="s">
        <v>11</v>
      </c>
      <c r="K1" s="13" t="s">
        <v>11</v>
      </c>
      <c r="L1" s="72"/>
      <c r="M1" s="3" t="s">
        <v>3</v>
      </c>
      <c r="N1" s="4" t="s">
        <v>1</v>
      </c>
      <c r="O1" s="5">
        <v>1</v>
      </c>
      <c r="P1" s="11">
        <v>0.75</v>
      </c>
      <c r="Q1" s="11">
        <v>0.5</v>
      </c>
      <c r="R1" s="11">
        <v>0.3</v>
      </c>
      <c r="S1" s="11">
        <v>0.2</v>
      </c>
      <c r="T1" s="11">
        <v>0.1</v>
      </c>
      <c r="U1" s="12">
        <v>0.05</v>
      </c>
      <c r="V1" s="72"/>
    </row>
    <row r="2" spans="1:22" ht="15.75" thickBot="1" x14ac:dyDescent="0.25">
      <c r="A2" s="77" t="s">
        <v>20</v>
      </c>
      <c r="B2" s="78"/>
      <c r="C2" s="78"/>
      <c r="D2" s="78"/>
      <c r="E2" s="78"/>
      <c r="F2" s="78"/>
      <c r="G2" s="78"/>
      <c r="H2" s="78"/>
      <c r="I2" s="79"/>
      <c r="J2" s="13"/>
      <c r="K2" s="13"/>
      <c r="L2" s="72"/>
      <c r="M2" s="77" t="s">
        <v>20</v>
      </c>
      <c r="N2" s="78"/>
      <c r="O2" s="78"/>
      <c r="P2" s="78"/>
      <c r="Q2" s="78"/>
      <c r="R2" s="78"/>
      <c r="S2" s="78"/>
      <c r="T2" s="78"/>
      <c r="U2" s="79"/>
      <c r="V2" s="72"/>
    </row>
    <row r="3" spans="1:22" ht="15.75" thickBot="1" x14ac:dyDescent="0.25">
      <c r="A3" s="77" t="s">
        <v>6</v>
      </c>
      <c r="B3" s="79"/>
      <c r="C3" s="15">
        <v>93.101364775358491</v>
      </c>
      <c r="D3" s="16">
        <v>91.326663725464783</v>
      </c>
      <c r="E3" s="16">
        <v>89.722561037148537</v>
      </c>
      <c r="F3" s="16">
        <v>83.857204647099024</v>
      </c>
      <c r="G3" s="16">
        <v>76.242949045118635</v>
      </c>
      <c r="H3" s="16">
        <v>60.40277741733636</v>
      </c>
      <c r="I3" s="17">
        <v>47.740900296138662</v>
      </c>
      <c r="J3" s="18" cm="1">
        <f t="array" ref="J3">-SUMPRODUCT((D1:H1-C1:G1)*(C3:G3+D3:H3)/2)</f>
        <v>77.879927234087958</v>
      </c>
      <c r="K3" s="18" cm="1">
        <f t="array" ref="K3">-SUMPRODUCT((D1:I1-C1:H1)*(C3:H3+D3:I3)/2)</f>
        <v>80.583519176924838</v>
      </c>
      <c r="L3" s="72" t="str">
        <f>"    "&amp;_xlfn.TEXTJOIN(", ",TRUE,C3:I3)&amp;","</f>
        <v xml:space="preserve">    93.1013647753585, 91.3266637254648, 89.7225610371485, 83.857204647099, 76.2429490451186, 60.4027774173364, 47.7409002961387,</v>
      </c>
      <c r="M3" s="77" t="s">
        <v>6</v>
      </c>
      <c r="N3" s="79"/>
      <c r="O3" s="15">
        <v>3.4649270444699574</v>
      </c>
      <c r="P3" s="16">
        <v>4.4611797621615326</v>
      </c>
      <c r="Q3" s="16">
        <v>4.7712065248821434</v>
      </c>
      <c r="R3" s="16">
        <v>5.3965689103010375</v>
      </c>
      <c r="S3" s="16">
        <v>7.9323757260741923</v>
      </c>
      <c r="T3" s="16">
        <v>9.9900413492801565</v>
      </c>
      <c r="U3" s="17">
        <v>9.7565309936118432</v>
      </c>
      <c r="V3" s="72" t="str">
        <f>"    "&amp;_xlfn.TEXTJOIN(", ",TRUE,O3:U3)&amp;","</f>
        <v xml:space="preserve">    3.46492704446996, 4.46117976216153, 4.77120652488214, 5.39656891030104, 7.93237572607419, 9.99004134928016, 9.75653099361184,</v>
      </c>
    </row>
    <row r="4" spans="1:22" ht="15.75" thickBot="1" x14ac:dyDescent="0.25">
      <c r="A4" s="77" t="s">
        <v>12</v>
      </c>
      <c r="B4" s="79"/>
      <c r="C4" s="22">
        <v>87.593900000000005</v>
      </c>
      <c r="D4" s="33">
        <v>87.663716814159287</v>
      </c>
      <c r="E4" s="33">
        <v>88.112094395280209</v>
      </c>
      <c r="F4" s="33">
        <v>87.970025692263789</v>
      </c>
      <c r="G4" s="33">
        <v>87.461708146264243</v>
      </c>
      <c r="H4" s="33">
        <v>75.251363189416281</v>
      </c>
      <c r="I4" s="34">
        <v>47.720683858280204</v>
      </c>
      <c r="J4" s="18" cm="1">
        <f t="array" ref="J4">-SUMPRODUCT((D1:H1-C1:G1)*(C4:G4+D4:H4)/2)</f>
        <v>78.394630770414679</v>
      </c>
      <c r="K4" s="18" cm="1">
        <f t="array" ref="K4">-SUMPRODUCT((D1:I1-C1:H1)*(C4:H4+D4:I4)/2)</f>
        <v>81.468931946607086</v>
      </c>
      <c r="L4" s="72" t="str">
        <f>"    "&amp;_xlfn.TEXTJOIN(", ",TRUE,C4:I4)&amp;","</f>
        <v xml:space="preserve">    87.5939, 87.6637168141593, 88.1120943952802, 87.9700256922638, 87.4617081462642, 75.2513631894163, 47.7206838582802,</v>
      </c>
      <c r="M4" s="77" t="s">
        <v>12</v>
      </c>
      <c r="N4" s="79"/>
      <c r="O4" s="51">
        <v>2.4529187882918819</v>
      </c>
      <c r="P4" s="33">
        <v>2.16276566139488</v>
      </c>
      <c r="Q4" s="33">
        <v>2.2973398804747198</v>
      </c>
      <c r="R4" s="33">
        <v>2.134165319654592</v>
      </c>
      <c r="S4" s="33">
        <v>2.3834878752826651</v>
      </c>
      <c r="T4" s="33">
        <v>3.787986046410059</v>
      </c>
      <c r="U4" s="34">
        <v>3.7419646549723868</v>
      </c>
      <c r="V4" s="72" t="str">
        <f t="shared" ref="V4:V10" si="0">"    "&amp;_xlfn.TEXTJOIN(", ",TRUE,O4:U4)&amp;","</f>
        <v xml:space="preserve">    2.45291878829188, 2.16276566139488, 2.29733988047472, 2.13416531965459, 2.38348787528267, 3.78798604641006, 3.74196465497239,</v>
      </c>
    </row>
    <row r="5" spans="1:22" ht="15.75" thickBot="1" x14ac:dyDescent="0.25">
      <c r="A5" s="77" t="s">
        <v>21</v>
      </c>
      <c r="B5" s="78"/>
      <c r="C5" s="78"/>
      <c r="D5" s="78"/>
      <c r="E5" s="78"/>
      <c r="F5" s="78"/>
      <c r="G5" s="78"/>
      <c r="H5" s="78"/>
      <c r="I5" s="79"/>
      <c r="J5" s="18"/>
      <c r="K5" s="18"/>
      <c r="L5" s="72"/>
      <c r="M5" s="77" t="s">
        <v>21</v>
      </c>
      <c r="N5" s="78"/>
      <c r="O5" s="78"/>
      <c r="P5" s="78"/>
      <c r="Q5" s="78"/>
      <c r="R5" s="78"/>
      <c r="S5" s="78"/>
      <c r="T5" s="78"/>
      <c r="U5" s="79"/>
      <c r="V5" s="72"/>
    </row>
    <row r="6" spans="1:22" ht="15.75" customHeight="1" thickBot="1" x14ac:dyDescent="0.25">
      <c r="A6" s="21" t="s">
        <v>13</v>
      </c>
      <c r="B6" s="19" t="s">
        <v>8</v>
      </c>
      <c r="C6" s="35">
        <v>93.445427728613566</v>
      </c>
      <c r="D6" s="36">
        <v>92.679541633866492</v>
      </c>
      <c r="E6" s="36">
        <v>91.778048829718813</v>
      </c>
      <c r="F6" s="36">
        <v>86.101912646303177</v>
      </c>
      <c r="G6" s="36">
        <v>76.411364573511307</v>
      </c>
      <c r="H6" s="36">
        <v>57.953226238981308</v>
      </c>
      <c r="I6" s="37">
        <v>48.206233041231613</v>
      </c>
      <c r="J6" s="18" cm="1">
        <f t="array" ref="J6">-SUMPRODUCT((D1:H1-C1:G1)*(C6:G6+D6:H6)/2)</f>
        <v>78.954709527475728</v>
      </c>
      <c r="K6" s="18" cm="1">
        <f t="array" ref="K6">-SUMPRODUCT((D1:I1-C1:H1)*(C6:H6+D6:I6)/2)</f>
        <v>81.608696009481051</v>
      </c>
      <c r="L6" s="72" t="str">
        <f>"    "&amp;_xlfn.TEXTJOIN(", ",TRUE,C6:I6)&amp;","</f>
        <v xml:space="preserve">    93.4454277286136, 92.6795416338665, 91.7780488297188, 86.1019126463032, 76.4113645735113, 57.9532262389813, 48.2062330412316,</v>
      </c>
      <c r="M6" s="21" t="s">
        <v>13</v>
      </c>
      <c r="N6" s="19" t="s">
        <v>8</v>
      </c>
      <c r="O6" s="35">
        <v>3.63493493042722</v>
      </c>
      <c r="P6" s="36">
        <v>3.829027369587588</v>
      </c>
      <c r="Q6" s="36">
        <v>3.9601929542572698</v>
      </c>
      <c r="R6" s="36">
        <v>5.532817342256747</v>
      </c>
      <c r="S6" s="36">
        <v>8.6642228875149421</v>
      </c>
      <c r="T6" s="36">
        <v>11.126193200417109</v>
      </c>
      <c r="U6" s="37">
        <v>8.823918329653516</v>
      </c>
      <c r="V6" s="72" t="str">
        <f t="shared" si="0"/>
        <v xml:space="preserve">    3.63493493042722, 3.82902736958759, 3.96019295425727, 5.53281734225675, 8.66422288751494, 11.1261932004171, 8.82391832965352,</v>
      </c>
    </row>
    <row r="7" spans="1:22" ht="15.75" customHeight="1" thickBot="1" x14ac:dyDescent="0.25">
      <c r="A7" s="21" t="s">
        <v>14</v>
      </c>
      <c r="B7" s="19" t="s">
        <v>8</v>
      </c>
      <c r="C7" s="38">
        <v>93.388397246804345</v>
      </c>
      <c r="D7" s="89">
        <v>93.163300143888193</v>
      </c>
      <c r="E7" s="89">
        <v>92.495609823614373</v>
      </c>
      <c r="F7" s="89">
        <v>87.315233407440076</v>
      </c>
      <c r="G7" s="89">
        <v>78.960680167360138</v>
      </c>
      <c r="H7" s="89">
        <v>58.086984604826448</v>
      </c>
      <c r="I7" s="39">
        <v>49.221948286749893</v>
      </c>
      <c r="J7" s="18" cm="1">
        <f t="array" ref="J7">-SUMPRODUCT((D1:H1-C1:G1)*(C7:G7+D7:H7)/2)</f>
        <v>79.67358916022917</v>
      </c>
      <c r="K7" s="18" cm="1">
        <f t="array" ref="K7">-SUMPRODUCT((D1:I1-C1:H1)*(C7:H7+D7:I7)/2)</f>
        <v>82.356312482518575</v>
      </c>
      <c r="L7" s="72" t="str">
        <f>"    "&amp;_xlfn.TEXTJOIN(", ",TRUE,C7:I7)&amp;","</f>
        <v xml:space="preserve">    93.3883972468043, 93.1633001438882, 92.4956098236144, 87.3152334074401, 78.9606801673601, 58.0869846048264, 49.2219482867499,</v>
      </c>
      <c r="M7" s="21" t="s">
        <v>14</v>
      </c>
      <c r="N7" s="19" t="s">
        <v>8</v>
      </c>
      <c r="O7" s="38">
        <v>3.4981630251472922</v>
      </c>
      <c r="P7" s="89">
        <v>3.9467814636506868</v>
      </c>
      <c r="Q7" s="89">
        <v>3.7883844468706909</v>
      </c>
      <c r="R7" s="89">
        <v>5.0333040272245917</v>
      </c>
      <c r="S7" s="89">
        <v>7.6405602635793066</v>
      </c>
      <c r="T7" s="89">
        <v>10.453113037866681</v>
      </c>
      <c r="U7" s="39">
        <v>8.5320330439682177</v>
      </c>
      <c r="V7" s="72" t="str">
        <f t="shared" si="0"/>
        <v xml:space="preserve">    3.49816302514729, 3.94678146365069, 3.78838444687069, 5.03330402722459, 7.64056026357931, 10.4531130378667, 8.53203304396822,</v>
      </c>
    </row>
    <row r="8" spans="1:22" ht="15.75" customHeight="1" thickBot="1" x14ac:dyDescent="0.25">
      <c r="A8" s="21" t="s">
        <v>15</v>
      </c>
      <c r="B8" s="19" t="s">
        <v>8</v>
      </c>
      <c r="C8" s="38">
        <v>93.613592389784216</v>
      </c>
      <c r="D8" s="89">
        <v>93.426768397650477</v>
      </c>
      <c r="E8" s="89">
        <v>92.479842674532946</v>
      </c>
      <c r="F8" s="89">
        <v>88.890546919379346</v>
      </c>
      <c r="G8" s="89">
        <v>80.119822259131425</v>
      </c>
      <c r="H8" s="89">
        <v>59.483813297116178</v>
      </c>
      <c r="I8" s="39">
        <v>49.843669351234297</v>
      </c>
      <c r="J8" s="18" cm="1">
        <f t="array" ref="J8">-SUMPRODUCT((D1:H1-C1:G1)*(C8:G8+D8:H8)/2)</f>
        <v>80.186110678581414</v>
      </c>
      <c r="K8" s="18" cm="1">
        <f t="array" ref="K8">-SUMPRODUCT((D1:I1-C1:H1)*(C8:H8+D8:I8)/2)</f>
        <v>82.919297744790171</v>
      </c>
      <c r="L8" s="72" t="str">
        <f>"    "&amp;_xlfn.TEXTJOIN(", ",TRUE,C8:I8)&amp;","</f>
        <v xml:space="preserve">    93.6135923897842, 93.4267683976505, 92.4798426745329, 88.8905469193793, 80.1198222591314, 59.4838132971162, 49.8436693512343,</v>
      </c>
      <c r="M8" s="21" t="s">
        <v>15</v>
      </c>
      <c r="N8" s="19" t="s">
        <v>8</v>
      </c>
      <c r="O8" s="38">
        <v>3.4904911325590242</v>
      </c>
      <c r="P8" s="89">
        <v>3.547279587281706</v>
      </c>
      <c r="Q8" s="89">
        <v>3.6895012860209908</v>
      </c>
      <c r="R8" s="89">
        <v>3.86989890624888</v>
      </c>
      <c r="S8" s="89">
        <v>6.9025955141073956</v>
      </c>
      <c r="T8" s="89">
        <v>12.029344533453241</v>
      </c>
      <c r="U8" s="39">
        <v>9.9865747110765266</v>
      </c>
      <c r="V8" s="72" t="str">
        <f t="shared" si="0"/>
        <v xml:space="preserve">    3.49049113255902, 3.54727958728171, 3.68950128602099, 3.86989890624888, 6.9025955141074, 12.0293445334532, 9.98657471107653,</v>
      </c>
    </row>
    <row r="9" spans="1:22" ht="15.75" customHeight="1" thickBot="1" x14ac:dyDescent="0.25">
      <c r="A9" s="21" t="s">
        <v>16</v>
      </c>
      <c r="B9" s="19" t="s">
        <v>8</v>
      </c>
      <c r="C9" s="38">
        <v>93.419873874341491</v>
      </c>
      <c r="D9" s="89">
        <v>93.321580059804418</v>
      </c>
      <c r="E9" s="89">
        <v>92.657822876207121</v>
      </c>
      <c r="F9" s="89">
        <v>89.15140557732623</v>
      </c>
      <c r="G9" s="89">
        <v>79.779874105023978</v>
      </c>
      <c r="H9" s="89">
        <v>59.171532625714747</v>
      </c>
      <c r="I9" s="39">
        <v>47.4729539182865</v>
      </c>
      <c r="J9" s="18" cm="1">
        <f t="array" ref="J9">-SUMPRODUCT((D1:H1-C1:G1)*(C9:G9+D9:H9)/2)</f>
        <v>80.165164274777453</v>
      </c>
      <c r="K9" s="18" cm="1">
        <f t="array" ref="K9">-SUMPRODUCT((D1:I1-C1:H1)*(C9:H9+D9:I9)/2)</f>
        <v>82.831276438377486</v>
      </c>
      <c r="L9" s="72" t="str">
        <f>"    "&amp;_xlfn.TEXTJOIN(", ",TRUE,C9:I9)&amp;","</f>
        <v xml:space="preserve">    93.4198738743415, 93.3215800598044, 92.6578228762071, 89.1514055773262, 79.779874105024, 59.1715326257147, 47.4729539182865,</v>
      </c>
      <c r="M9" s="21" t="s">
        <v>16</v>
      </c>
      <c r="N9" s="19" t="s">
        <v>8</v>
      </c>
      <c r="O9" s="38">
        <v>3.6577853098018931</v>
      </c>
      <c r="P9" s="89">
        <v>3.619348066919728</v>
      </c>
      <c r="Q9" s="89">
        <v>3.7852978053283159</v>
      </c>
      <c r="R9" s="89">
        <v>4.0838982244041544</v>
      </c>
      <c r="S9" s="89">
        <v>7.1029176448925107</v>
      </c>
      <c r="T9" s="89">
        <v>10.804754951857261</v>
      </c>
      <c r="U9" s="39">
        <v>8.5667319395253703</v>
      </c>
      <c r="V9" s="72" t="str">
        <f t="shared" si="0"/>
        <v xml:space="preserve">    3.65778530980189, 3.61934806691973, 3.78529780532832, 4.08389822440415, 7.10291764489251, 10.8047549518573, 8.56673193952537,</v>
      </c>
    </row>
    <row r="10" spans="1:22" ht="15.75" customHeight="1" thickBot="1" x14ac:dyDescent="0.25">
      <c r="A10" s="4" t="s">
        <v>17</v>
      </c>
      <c r="B10" s="19" t="s">
        <v>8</v>
      </c>
      <c r="C10" s="40">
        <v>93.402168992234664</v>
      </c>
      <c r="D10" s="41">
        <v>93.248776661851196</v>
      </c>
      <c r="E10" s="41">
        <v>92.691271839145102</v>
      </c>
      <c r="F10" s="41">
        <v>88.452475079080841</v>
      </c>
      <c r="G10" s="41">
        <v>80.836250025230896</v>
      </c>
      <c r="H10" s="41">
        <v>58.587493548098742</v>
      </c>
      <c r="I10" s="42">
        <v>46.761612701378603</v>
      </c>
      <c r="J10" s="18" cm="1">
        <f t="array" ref="J10">-SUMPRODUCT((D1:H1-C1:G1)*(C10:G10+D10:H10)/2)</f>
        <v>80.123872395089933</v>
      </c>
      <c r="K10" s="18" cm="1">
        <f t="array" ref="K10">-SUMPRODUCT((D1:I1-C1:H1)*(C10:H10+D10:I10)/2)</f>
        <v>82.757600051326861</v>
      </c>
      <c r="L10" s="72" t="str">
        <f>"    "&amp;_xlfn.TEXTJOIN(", ",TRUE,C10:I10)&amp;","</f>
        <v xml:space="preserve">    93.4021689922347, 93.2487766618512, 92.6912718391451, 88.4524750790808, 80.8362500252309, 58.5874935480987, 46.7616127013786,</v>
      </c>
      <c r="M10" s="4" t="s">
        <v>17</v>
      </c>
      <c r="N10" s="19" t="s">
        <v>8</v>
      </c>
      <c r="O10" s="40">
        <v>3.54951767012634</v>
      </c>
      <c r="P10" s="41">
        <v>3.9476305437492138</v>
      </c>
      <c r="Q10" s="41">
        <v>3.9153520636466741</v>
      </c>
      <c r="R10" s="41">
        <v>4.7440261437688536</v>
      </c>
      <c r="S10" s="41">
        <v>6.9981331013815007</v>
      </c>
      <c r="T10" s="41">
        <v>10.73836101002882</v>
      </c>
      <c r="U10" s="42">
        <v>8.4598560379029468</v>
      </c>
      <c r="V10" s="72" t="str">
        <f t="shared" si="0"/>
        <v xml:space="preserve">    3.54951767012634, 3.94763054374921, 3.91535206364667, 4.74402614376885, 6.9981331013815, 10.7383610100288, 8.45985603790295,</v>
      </c>
    </row>
    <row r="11" spans="1:22" ht="15.75" customHeight="1" thickBot="1" x14ac:dyDescent="0.25">
      <c r="A11" s="77" t="s">
        <v>22</v>
      </c>
      <c r="B11" s="78"/>
      <c r="C11" s="80"/>
      <c r="D11" s="80"/>
      <c r="E11" s="80"/>
      <c r="F11" s="80"/>
      <c r="G11" s="80"/>
      <c r="H11" s="80"/>
      <c r="I11" s="81"/>
      <c r="J11" s="18"/>
      <c r="K11" s="18"/>
      <c r="L11" s="72"/>
      <c r="M11" s="77" t="s">
        <v>22</v>
      </c>
      <c r="N11" s="78"/>
      <c r="O11" s="80"/>
      <c r="P11" s="80"/>
      <c r="Q11" s="80"/>
      <c r="R11" s="80"/>
      <c r="S11" s="80"/>
      <c r="T11" s="80"/>
      <c r="U11" s="81"/>
      <c r="V11" s="72"/>
    </row>
    <row r="12" spans="1:22" ht="15.75" customHeight="1" thickBot="1" x14ac:dyDescent="0.25">
      <c r="A12" s="77" t="s">
        <v>9</v>
      </c>
      <c r="B12" s="79"/>
      <c r="C12" s="52">
        <v>92.969518190757128</v>
      </c>
      <c r="D12" s="53">
        <v>91.851524090462149</v>
      </c>
      <c r="E12" s="53">
        <v>90.756145526057011</v>
      </c>
      <c r="F12" s="53">
        <v>87.253136561158271</v>
      </c>
      <c r="G12" s="53">
        <v>81.178972136437139</v>
      </c>
      <c r="H12" s="53">
        <v>57.386929529378847</v>
      </c>
      <c r="I12" s="54">
        <v>44.855442809482213</v>
      </c>
      <c r="J12" s="18" cm="1">
        <f t="array" ref="J12">-SUMPRODUCT((D1:H1-C1:G1)*(C12:G12+D12:H12)/2)</f>
        <v>79.079417714109411</v>
      </c>
      <c r="K12" s="18" cm="1">
        <f t="array" ref="K12">-SUMPRODUCT((D1:I1-C1:H1)*(C12:H12+D12:I12)/2)</f>
        <v>81.635477022580943</v>
      </c>
      <c r="L12" s="72" t="str">
        <f>"    "&amp;_xlfn.TEXTJOIN(", ",TRUE,C12:I12)&amp;","</f>
        <v xml:space="preserve">    92.9695181907571, 91.8515240904621, 90.756145526057, 87.2531365611583, 81.1789721364371, 57.3869295293788, 44.8554428094822,</v>
      </c>
      <c r="M12" s="77" t="s">
        <v>9</v>
      </c>
      <c r="N12" s="79"/>
      <c r="O12" s="52">
        <v>3.3991921823554931</v>
      </c>
      <c r="P12" s="53">
        <v>3.6561489783789969</v>
      </c>
      <c r="Q12" s="53">
        <v>3.4316179388806831</v>
      </c>
      <c r="R12" s="53">
        <v>3.3610781227617821</v>
      </c>
      <c r="S12" s="53">
        <v>5.2773835873092807</v>
      </c>
      <c r="T12" s="53">
        <v>8.2027130196510409</v>
      </c>
      <c r="U12" s="54">
        <v>5.203571843512913</v>
      </c>
      <c r="V12" s="72" t="str">
        <f t="shared" ref="V12:V15" si="1">"    "&amp;_xlfn.TEXTJOIN(", ",TRUE,O12:U12)&amp;","</f>
        <v xml:space="preserve">    3.39919218235549, 3.656148978379, 3.43161793888068, 3.36107812276178, 5.27738358730928, 8.20271301965104, 5.20357184351291,</v>
      </c>
    </row>
    <row r="13" spans="1:22" ht="15.75" customHeight="1" thickBot="1" x14ac:dyDescent="0.25">
      <c r="A13" s="82" t="s">
        <v>10</v>
      </c>
      <c r="B13" s="81"/>
      <c r="C13" s="55">
        <v>91.898721730580135</v>
      </c>
      <c r="D13" s="56">
        <v>90.765995668936</v>
      </c>
      <c r="E13" s="56">
        <v>89.705268500015848</v>
      </c>
      <c r="F13" s="56">
        <v>87.959685349065893</v>
      </c>
      <c r="G13" s="56">
        <v>85.750000720882824</v>
      </c>
      <c r="H13" s="56">
        <v>71.387388010853613</v>
      </c>
      <c r="I13" s="57">
        <v>45.596343105620853</v>
      </c>
      <c r="J13" s="18" cm="1">
        <f t="array" ref="J13">-SUMPRODUCT((D1:H1-C1:G1)*(C13:G13+D13:H13)/2)</f>
        <v>79.700846821050931</v>
      </c>
      <c r="K13" s="18" cm="1">
        <f t="array" ref="K13">-SUMPRODUCT((D1:I1-C1:H1)*(C13:H13+D13:I13)/2)</f>
        <v>82.625440098962798</v>
      </c>
      <c r="L13" s="72" t="str">
        <f>"    "&amp;_xlfn.TEXTJOIN(", ",TRUE,C13:I13)&amp;","</f>
        <v xml:space="preserve">    91.8987217305801, 90.765995668936, 89.7052685000158, 87.9596853490659, 85.7500007208828, 71.3873880108536, 45.5963431056209,</v>
      </c>
      <c r="M13" s="77" t="s">
        <v>10</v>
      </c>
      <c r="N13" s="79"/>
      <c r="O13" s="55">
        <v>3.190312271555559</v>
      </c>
      <c r="P13" s="56">
        <v>2.8828036064622768</v>
      </c>
      <c r="Q13" s="56">
        <v>2.5884740771146331</v>
      </c>
      <c r="R13" s="56">
        <v>2.6213450470877251</v>
      </c>
      <c r="S13" s="56">
        <v>3.203569989687661</v>
      </c>
      <c r="T13" s="56">
        <v>4.756712112750666</v>
      </c>
      <c r="U13" s="57">
        <v>2.488810891584841</v>
      </c>
      <c r="V13" s="72" t="str">
        <f t="shared" si="1"/>
        <v xml:space="preserve">    3.19031227155556, 2.88280360646228, 2.58847407711463, 2.62134504708773, 3.20356998968766, 4.75671211275067, 2.48881089158484,</v>
      </c>
    </row>
    <row r="14" spans="1:22" ht="15.75" customHeight="1" thickBot="1" x14ac:dyDescent="0.25">
      <c r="A14" s="77" t="s">
        <v>18</v>
      </c>
      <c r="B14" s="79"/>
      <c r="C14" s="55">
        <v>93.044276622923505</v>
      </c>
      <c r="D14" s="56">
        <v>91.935155148400938</v>
      </c>
      <c r="E14" s="56">
        <v>90.94889229145582</v>
      </c>
      <c r="F14" s="56">
        <v>85.952505356159378</v>
      </c>
      <c r="G14" s="56">
        <v>78.915183810701947</v>
      </c>
      <c r="H14" s="56">
        <v>59.442100133507502</v>
      </c>
      <c r="I14" s="57">
        <v>49.533828147302302</v>
      </c>
      <c r="J14" s="18" cm="1">
        <f t="array" ref="J14">-SUMPRODUCT((D1:H1-C1:G1)*(C14:G14+D14:H14)/2)</f>
        <v>78.834323321712716</v>
      </c>
      <c r="K14" s="18" cm="1">
        <f t="array" ref="K14">-SUMPRODUCT((D1:I1-C1:H1)*(C14:H14+D14:I14)/2)</f>
        <v>81.55872152873296</v>
      </c>
      <c r="L14" s="72" t="str">
        <f>"    "&amp;_xlfn.TEXTJOIN(", ",TRUE,C14:I14)&amp;","</f>
        <v xml:space="preserve">    93.0442766229235, 91.9351551484009, 90.9488922914558, 85.9525053561594, 78.9151838107019, 59.4421001335075, 49.5338281473023,</v>
      </c>
      <c r="M14" s="77" t="s">
        <v>18</v>
      </c>
      <c r="N14" s="79"/>
      <c r="O14" s="55">
        <v>3.72078192123604</v>
      </c>
      <c r="P14" s="56">
        <v>4.0467152776216686</v>
      </c>
      <c r="Q14" s="56">
        <v>4.0235763627769954</v>
      </c>
      <c r="R14" s="56">
        <v>4.4767633212331157</v>
      </c>
      <c r="S14" s="56">
        <v>7.2019016527503927</v>
      </c>
      <c r="T14" s="56">
        <v>10.04668436860082</v>
      </c>
      <c r="U14" s="57">
        <v>9.2355901481835172</v>
      </c>
      <c r="V14" s="72" t="str">
        <f t="shared" si="1"/>
        <v xml:space="preserve">    3.72078192123604, 4.04671527762167, 4.023576362777, 4.47676332123312, 7.20190165275039, 10.0466843686008, 9.23559014818352,</v>
      </c>
    </row>
    <row r="15" spans="1:22" ht="15.75" customHeight="1" thickBot="1" x14ac:dyDescent="0.25">
      <c r="A15" s="77" t="s">
        <v>19</v>
      </c>
      <c r="B15" s="79"/>
      <c r="C15" s="58">
        <v>93.174110502686005</v>
      </c>
      <c r="D15" s="59">
        <v>91.391724841910417</v>
      </c>
      <c r="E15" s="59">
        <v>89.591539142495463</v>
      </c>
      <c r="F15" s="59">
        <v>84.690597092823751</v>
      </c>
      <c r="G15" s="59">
        <v>76.401347185817656</v>
      </c>
      <c r="H15" s="59">
        <v>59.963667505774268</v>
      </c>
      <c r="I15" s="60">
        <v>47.725577210875521</v>
      </c>
      <c r="J15" s="18" cm="1">
        <f t="array" ref="J15">-SUMPRODUCT((D1:H1-C1:G1)*(C15:G15+D15:H15)/2)</f>
        <v>77.994698988168864</v>
      </c>
      <c r="K15" s="18" cm="1">
        <f t="array" ref="K15">-SUMPRODUCT((D1:I1-C1:H1)*(C15:H15+D15:I15)/2)</f>
        <v>80.686930106085114</v>
      </c>
      <c r="L15" s="72" t="str">
        <f>"    "&amp;_xlfn.TEXTJOIN(", ",TRUE,C15:I15)&amp;","</f>
        <v xml:space="preserve">    93.174110502686, 91.3917248419104, 89.5915391424955, 84.6905970928238, 76.4013471858177, 59.9636675057743, 47.7255772108755,</v>
      </c>
      <c r="M15" s="77" t="s">
        <v>19</v>
      </c>
      <c r="N15" s="79"/>
      <c r="O15" s="58">
        <v>3.8766021792735019</v>
      </c>
      <c r="P15" s="59">
        <v>4.8126411406228078</v>
      </c>
      <c r="Q15" s="59">
        <v>4.6512210016047986</v>
      </c>
      <c r="R15" s="59">
        <v>5.2416066355763284</v>
      </c>
      <c r="S15" s="59">
        <v>8.0769588602235256</v>
      </c>
      <c r="T15" s="59">
        <v>10.657363307561541</v>
      </c>
      <c r="U15" s="60">
        <v>9.200486032966916</v>
      </c>
      <c r="V15" s="72" t="str">
        <f t="shared" si="1"/>
        <v xml:space="preserve">    3.8766021792735, 4.81264114062281, 4.6512210016048, 5.24160663557633, 8.07695886022353, 10.6573633075615, 9.20048603296692,</v>
      </c>
    </row>
    <row r="16" spans="1:22" ht="15" thickBot="1" x14ac:dyDescent="0.25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73"/>
      <c r="M16" s="23"/>
      <c r="N16" s="23"/>
      <c r="O16" s="23"/>
      <c r="P16" s="23"/>
      <c r="Q16" s="23"/>
      <c r="R16" s="23"/>
      <c r="S16" s="23"/>
      <c r="T16" s="23"/>
      <c r="U16" s="23"/>
      <c r="V16" s="73"/>
    </row>
    <row r="17" spans="1:22" ht="15.75" thickBot="1" x14ac:dyDescent="0.25">
      <c r="A17" s="6" t="s">
        <v>4</v>
      </c>
      <c r="B17" s="7" t="s">
        <v>1</v>
      </c>
      <c r="C17" s="8">
        <v>1</v>
      </c>
      <c r="D17" s="8">
        <v>0.75</v>
      </c>
      <c r="E17" s="8">
        <v>0.5</v>
      </c>
      <c r="F17" s="8">
        <v>0.3</v>
      </c>
      <c r="G17" s="8">
        <v>0.2</v>
      </c>
      <c r="H17" s="8">
        <v>0.1</v>
      </c>
      <c r="I17" s="7">
        <v>0.05</v>
      </c>
      <c r="J17" s="14"/>
      <c r="K17" s="14"/>
      <c r="L17" s="74"/>
      <c r="M17" s="6" t="s">
        <v>5</v>
      </c>
      <c r="N17" s="7" t="s">
        <v>1</v>
      </c>
      <c r="O17" s="9">
        <v>1</v>
      </c>
      <c r="P17" s="9">
        <v>0.75</v>
      </c>
      <c r="Q17" s="9">
        <v>0.5</v>
      </c>
      <c r="R17" s="9">
        <v>0.3</v>
      </c>
      <c r="S17" s="9">
        <v>0.2</v>
      </c>
      <c r="T17" s="9">
        <v>0.1</v>
      </c>
      <c r="U17" s="10">
        <v>0.05</v>
      </c>
      <c r="V17" s="74"/>
    </row>
    <row r="18" spans="1:22" ht="15.75" thickBot="1" x14ac:dyDescent="0.25">
      <c r="A18" s="83" t="s">
        <v>20</v>
      </c>
      <c r="B18" s="84"/>
      <c r="C18" s="84"/>
      <c r="D18" s="84"/>
      <c r="E18" s="84"/>
      <c r="F18" s="84"/>
      <c r="G18" s="84"/>
      <c r="H18" s="84"/>
      <c r="I18" s="85"/>
      <c r="J18" s="14"/>
      <c r="K18" s="14"/>
      <c r="L18" s="74"/>
      <c r="M18" s="83" t="s">
        <v>20</v>
      </c>
      <c r="N18" s="84"/>
      <c r="O18" s="84"/>
      <c r="P18" s="84"/>
      <c r="Q18" s="84"/>
      <c r="R18" s="84"/>
      <c r="S18" s="84"/>
      <c r="T18" s="84"/>
      <c r="U18" s="85"/>
      <c r="V18" s="74"/>
    </row>
    <row r="19" spans="1:22" ht="15.75" thickBot="1" x14ac:dyDescent="0.25">
      <c r="A19" s="83" t="s">
        <v>6</v>
      </c>
      <c r="B19" s="85"/>
      <c r="C19" s="25">
        <v>92.567111769713335</v>
      </c>
      <c r="D19" s="25">
        <v>90.835858608343599</v>
      </c>
      <c r="E19" s="25">
        <v>89.217505339533233</v>
      </c>
      <c r="F19" s="25">
        <v>83.237245964288078</v>
      </c>
      <c r="G19" s="25">
        <v>75.380430844191011</v>
      </c>
      <c r="H19" s="25">
        <v>58.994367187597383</v>
      </c>
      <c r="I19" s="26">
        <v>43.622535641382179</v>
      </c>
      <c r="J19" s="24"/>
      <c r="K19" s="24"/>
      <c r="L19" s="74" t="str">
        <f>"    "&amp;_xlfn.TEXTJOIN(", ",TRUE,C19:I19)&amp;","</f>
        <v xml:space="preserve">    92.5671117697133, 90.8358586083436, 89.2175053395332, 83.2372459642881, 75.380430844191, 58.9943671875974, 43.6225356413822,</v>
      </c>
      <c r="M19" s="83" t="s">
        <v>2</v>
      </c>
      <c r="N19" s="85"/>
      <c r="O19" s="27">
        <v>3.88093621561358</v>
      </c>
      <c r="P19" s="25">
        <v>4.8164746829677396</v>
      </c>
      <c r="Q19" s="25">
        <v>5.2250608386616522</v>
      </c>
      <c r="R19" s="25">
        <v>5.6675721086724113</v>
      </c>
      <c r="S19" s="25">
        <v>8.3263283482936075</v>
      </c>
      <c r="T19" s="25">
        <v>10.49020927094638</v>
      </c>
      <c r="U19" s="26">
        <v>11.060437347759546</v>
      </c>
      <c r="V19" s="74" t="str">
        <f>"    "&amp;_xlfn.TEXTJOIN(", ",TRUE,O19:U19)&amp;","</f>
        <v xml:space="preserve">    3.88093621561358, 4.81647468296774, 5.22506083866165, 5.66757210867241, 8.32632834829361, 10.4902092709464, 11.0604373477595,</v>
      </c>
    </row>
    <row r="20" spans="1:22" ht="15.75" thickBot="1" x14ac:dyDescent="0.25">
      <c r="A20" s="83" t="s">
        <v>7</v>
      </c>
      <c r="B20" s="85"/>
      <c r="C20" s="25">
        <v>92.866950218042462</v>
      </c>
      <c r="D20" s="25">
        <v>91.242690764745561</v>
      </c>
      <c r="E20" s="25">
        <v>90.137053227698445</v>
      </c>
      <c r="F20" s="25">
        <v>86.080152926613408</v>
      </c>
      <c r="G20" s="25">
        <v>77.410217255196784</v>
      </c>
      <c r="H20" s="25">
        <v>59.676194764980139</v>
      </c>
      <c r="I20" s="26">
        <v>46.395490419404197</v>
      </c>
      <c r="J20" s="24"/>
      <c r="K20" s="24"/>
      <c r="L20" s="74" t="str">
        <f>"    "&amp;_xlfn.TEXTJOIN(", ",TRUE,C20:I20)&amp;","</f>
        <v xml:space="preserve">    92.8669502180425, 91.2426907647456, 90.1370532276984, 86.0801529266134, 77.4102172551968, 59.6761947649801, 46.3954904194042,</v>
      </c>
      <c r="M20" s="83" t="s">
        <v>7</v>
      </c>
      <c r="N20" s="85"/>
      <c r="O20" s="25">
        <v>3.8319643020864191</v>
      </c>
      <c r="P20" s="25">
        <v>4.3603246705255447</v>
      </c>
      <c r="Q20" s="25">
        <v>4.7987735191879262</v>
      </c>
      <c r="R20" s="25">
        <v>5.1262965367330251</v>
      </c>
      <c r="S20" s="25">
        <v>7.087258799823358</v>
      </c>
      <c r="T20" s="25">
        <v>9.7457736576346736</v>
      </c>
      <c r="U20" s="26">
        <v>10.021578856839133</v>
      </c>
      <c r="V20" s="74" t="str">
        <f t="shared" ref="V20:V32" si="2">"    "&amp;_xlfn.TEXTJOIN(", ",TRUE,O20:U20)&amp;","</f>
        <v xml:space="preserve">    3.83196430208642, 4.36032467052554, 4.79877351918793, 5.12629653673303, 7.08725879982336, 9.74577365763467, 10.0215788568391,</v>
      </c>
    </row>
    <row r="21" spans="1:22" ht="15.75" thickBot="1" x14ac:dyDescent="0.25">
      <c r="A21" s="83" t="s">
        <v>12</v>
      </c>
      <c r="B21" s="85"/>
      <c r="C21" s="30">
        <v>87.268396410214976</v>
      </c>
      <c r="D21" s="31">
        <v>87.256428398686779</v>
      </c>
      <c r="E21" s="31">
        <v>87.822106304170404</v>
      </c>
      <c r="F21" s="31">
        <v>87.68072644235157</v>
      </c>
      <c r="G21" s="31">
        <v>87.144879367185226</v>
      </c>
      <c r="H21" s="31">
        <v>74.976567886515753</v>
      </c>
      <c r="I21" s="32">
        <v>46.41754739488244</v>
      </c>
      <c r="J21" s="24"/>
      <c r="K21" s="24"/>
      <c r="L21" s="74" t="str">
        <f t="shared" ref="L21:L27" si="3">"    "&amp;_xlfn.TEXTJOIN(", ",TRUE,C21:I21)&amp;","</f>
        <v xml:space="preserve">    87.268396410215, 87.2564283986868, 87.8221063041704, 87.6807264423516, 87.1448793671852, 74.9765678865158, 46.4175473948824,</v>
      </c>
      <c r="M21" s="83" t="s">
        <v>12</v>
      </c>
      <c r="N21" s="85"/>
      <c r="O21" s="30">
        <v>2.610595868561878</v>
      </c>
      <c r="P21" s="31">
        <v>2.3209805270224559</v>
      </c>
      <c r="Q21" s="31">
        <v>2.4426244152699921</v>
      </c>
      <c r="R21" s="31">
        <v>2.2821255442986761</v>
      </c>
      <c r="S21" s="31">
        <v>2.523131741400912</v>
      </c>
      <c r="T21" s="31">
        <v>3.7626100419371111</v>
      </c>
      <c r="U21" s="32">
        <v>4.1161081119796732</v>
      </c>
      <c r="V21" s="74" t="str">
        <f t="shared" si="2"/>
        <v xml:space="preserve">    2.61059586856188, 2.32098052702246, 2.44262441526999, 2.28212554429868, 2.52313174140091, 3.76261004193711, 4.11610811197967,</v>
      </c>
    </row>
    <row r="22" spans="1:22" ht="15.75" thickBot="1" x14ac:dyDescent="0.25">
      <c r="A22" s="83" t="s">
        <v>21</v>
      </c>
      <c r="B22" s="84"/>
      <c r="C22" s="84"/>
      <c r="D22" s="84"/>
      <c r="E22" s="84"/>
      <c r="F22" s="84"/>
      <c r="G22" s="84"/>
      <c r="H22" s="84"/>
      <c r="I22" s="85"/>
      <c r="J22" s="24"/>
      <c r="K22" s="24"/>
      <c r="L22" s="74"/>
      <c r="M22" s="83" t="s">
        <v>21</v>
      </c>
      <c r="N22" s="84"/>
      <c r="O22" s="84"/>
      <c r="P22" s="84"/>
      <c r="Q22" s="84"/>
      <c r="R22" s="84"/>
      <c r="S22" s="84"/>
      <c r="T22" s="84"/>
      <c r="U22" s="85"/>
      <c r="V22" s="74"/>
    </row>
    <row r="23" spans="1:22" ht="15.75" thickBot="1" x14ac:dyDescent="0.25">
      <c r="A23" s="28" t="s">
        <v>13</v>
      </c>
      <c r="B23" s="20" t="s">
        <v>8</v>
      </c>
      <c r="C23" s="43">
        <v>93.133759233645321</v>
      </c>
      <c r="D23" s="44">
        <v>92.304672382146748</v>
      </c>
      <c r="E23" s="44">
        <v>91.444189185562351</v>
      </c>
      <c r="F23" s="44">
        <v>85.426521654212891</v>
      </c>
      <c r="G23" s="44">
        <v>75.317629576892514</v>
      </c>
      <c r="H23" s="44">
        <v>56.610947325686737</v>
      </c>
      <c r="I23" s="45">
        <v>45.748190075003762</v>
      </c>
      <c r="J23" s="24"/>
      <c r="K23" s="24"/>
      <c r="L23" s="74" t="str">
        <f t="shared" si="3"/>
        <v xml:space="preserve">    93.1337592336453, 92.3046723821467, 91.4441891855624, 85.4265216542129, 75.3176295768925, 56.6109473256867, 45.7481900750038,</v>
      </c>
      <c r="M23" s="28" t="s">
        <v>13</v>
      </c>
      <c r="N23" s="20" t="s">
        <v>8</v>
      </c>
      <c r="O23" s="43">
        <v>3.9121971941809219</v>
      </c>
      <c r="P23" s="44">
        <v>4.1282087050536456</v>
      </c>
      <c r="Q23" s="44">
        <v>4.2494003623292071</v>
      </c>
      <c r="R23" s="44">
        <v>5.9916557475032972</v>
      </c>
      <c r="S23" s="44">
        <v>9.1687256062392883</v>
      </c>
      <c r="T23" s="44">
        <v>11.456152961024539</v>
      </c>
      <c r="U23" s="45">
        <v>9.6333908055861777</v>
      </c>
      <c r="V23" s="74" t="str">
        <f t="shared" si="2"/>
        <v xml:space="preserve">    3.91219719418092, 4.12820870505365, 4.24940036232921, 5.9916557475033, 9.16872560623929, 11.4561529610245, 9.63339080558618,</v>
      </c>
    </row>
    <row r="24" spans="1:22" ht="15.75" thickBot="1" x14ac:dyDescent="0.25">
      <c r="A24" s="28" t="s">
        <v>14</v>
      </c>
      <c r="B24" s="20" t="s">
        <v>8</v>
      </c>
      <c r="C24" s="46">
        <v>93.00867691832353</v>
      </c>
      <c r="D24" s="90">
        <v>92.808329186135168</v>
      </c>
      <c r="E24" s="90">
        <v>92.155151633654143</v>
      </c>
      <c r="F24" s="90">
        <v>86.738552710653849</v>
      </c>
      <c r="G24" s="90">
        <v>78.197798518912975</v>
      </c>
      <c r="H24" s="90">
        <v>56.561308145979318</v>
      </c>
      <c r="I24" s="47">
        <v>47.028535962020889</v>
      </c>
      <c r="J24" s="24"/>
      <c r="K24" s="24"/>
      <c r="L24" s="74" t="str">
        <f t="shared" si="3"/>
        <v xml:space="preserve">    93.0086769183235, 92.8083291861352, 92.1551516336541, 86.7385527106538, 78.197798518913, 56.5613081459793, 47.0285359620209,</v>
      </c>
      <c r="M24" s="28" t="s">
        <v>14</v>
      </c>
      <c r="N24" s="20" t="s">
        <v>8</v>
      </c>
      <c r="O24" s="46">
        <v>3.827911542316786</v>
      </c>
      <c r="P24" s="90">
        <v>4.295435916434271</v>
      </c>
      <c r="Q24" s="90">
        <v>4.0327388862965838</v>
      </c>
      <c r="R24" s="90">
        <v>5.4347526001929642</v>
      </c>
      <c r="S24" s="90">
        <v>8.1150967642968386</v>
      </c>
      <c r="T24" s="90">
        <v>11.129229244930199</v>
      </c>
      <c r="U24" s="47">
        <v>9.1925341098966111</v>
      </c>
      <c r="V24" s="74" t="str">
        <f t="shared" si="2"/>
        <v xml:space="preserve">    3.82791154231679, 4.29543591643427, 4.03273888629658, 5.43475260019296, 8.11509676429684, 11.1292292449302, 9.19253410989661,</v>
      </c>
    </row>
    <row r="25" spans="1:22" ht="15.75" thickBot="1" x14ac:dyDescent="0.25">
      <c r="A25" s="28" t="s">
        <v>15</v>
      </c>
      <c r="B25" s="20" t="s">
        <v>8</v>
      </c>
      <c r="C25" s="46">
        <v>93.210882768202708</v>
      </c>
      <c r="D25" s="90">
        <v>93.062739675926835</v>
      </c>
      <c r="E25" s="90">
        <v>92.059253772238407</v>
      </c>
      <c r="F25" s="90">
        <v>88.424027502938245</v>
      </c>
      <c r="G25" s="90">
        <v>79.460251634343123</v>
      </c>
      <c r="H25" s="90">
        <v>58.236914996017987</v>
      </c>
      <c r="I25" s="47">
        <v>47.974849720157962</v>
      </c>
      <c r="J25" s="24"/>
      <c r="K25" s="24"/>
      <c r="L25" s="74" t="str">
        <f t="shared" si="3"/>
        <v xml:space="preserve">    93.2108827682027, 93.0627396759268, 92.0592537722384, 88.4240275029382, 79.4602516343431, 58.236914996018, 47.974849720158,</v>
      </c>
      <c r="M25" s="28" t="s">
        <v>15</v>
      </c>
      <c r="N25" s="20" t="s">
        <v>8</v>
      </c>
      <c r="O25" s="46">
        <v>3.8733696056645068</v>
      </c>
      <c r="P25" s="90">
        <v>3.9007882077622931</v>
      </c>
      <c r="Q25" s="90">
        <v>4.0480191778596391</v>
      </c>
      <c r="R25" s="90">
        <v>4.2338738496871349</v>
      </c>
      <c r="S25" s="90">
        <v>7.2601408256288931</v>
      </c>
      <c r="T25" s="90">
        <v>12.70788948491346</v>
      </c>
      <c r="U25" s="47">
        <v>10.35393856330248</v>
      </c>
      <c r="V25" s="74" t="str">
        <f t="shared" si="2"/>
        <v xml:space="preserve">    3.87336960566451, 3.90078820776229, 4.04801917785964, 4.23387384968713, 7.26014082562889, 12.7078894849135, 10.3539385633025,</v>
      </c>
    </row>
    <row r="26" spans="1:22" ht="15.75" thickBot="1" x14ac:dyDescent="0.25">
      <c r="A26" s="28" t="s">
        <v>16</v>
      </c>
      <c r="B26" s="20" t="s">
        <v>8</v>
      </c>
      <c r="C26" s="46">
        <v>93.01379316748195</v>
      </c>
      <c r="D26" s="90">
        <v>92.941508271940833</v>
      </c>
      <c r="E26" s="90">
        <v>92.339429114218376</v>
      </c>
      <c r="F26" s="90">
        <v>88.601972563181917</v>
      </c>
      <c r="G26" s="90">
        <v>79.027143680189567</v>
      </c>
      <c r="H26" s="90">
        <v>57.95578617545695</v>
      </c>
      <c r="I26" s="47">
        <v>45.06038183001656</v>
      </c>
      <c r="J26" s="24"/>
      <c r="K26" s="24"/>
      <c r="L26" s="74" t="str">
        <f t="shared" si="3"/>
        <v xml:space="preserve">    93.0137931674819, 92.9415082719408, 92.3394291142184, 88.6019725631819, 79.0271436801896, 57.955786175457, 45.0603818300166,</v>
      </c>
      <c r="M26" s="28" t="s">
        <v>16</v>
      </c>
      <c r="N26" s="20" t="s">
        <v>8</v>
      </c>
      <c r="O26" s="46">
        <v>4.0554518124822918</v>
      </c>
      <c r="P26" s="90">
        <v>4.0011641326859841</v>
      </c>
      <c r="Q26" s="90">
        <v>4.1357826677442384</v>
      </c>
      <c r="R26" s="90">
        <v>4.4957043755433128</v>
      </c>
      <c r="S26" s="90">
        <v>7.5674880357999452</v>
      </c>
      <c r="T26" s="90">
        <v>11.37378419889658</v>
      </c>
      <c r="U26" s="47">
        <v>9.5703104609553549</v>
      </c>
      <c r="V26" s="74" t="str">
        <f t="shared" si="2"/>
        <v xml:space="preserve">    4.05545181248229, 4.00116413268598, 4.13578266774424, 4.49570437554331, 7.56748803579995, 11.3737841988966, 9.57031046095535,</v>
      </c>
    </row>
    <row r="27" spans="1:22" ht="15.75" thickBot="1" x14ac:dyDescent="0.25">
      <c r="A27" s="29" t="s">
        <v>17</v>
      </c>
      <c r="B27" s="20" t="s">
        <v>8</v>
      </c>
      <c r="C27" s="48">
        <v>93.003107171421291</v>
      </c>
      <c r="D27" s="49">
        <v>92.882665900806714</v>
      </c>
      <c r="E27" s="49">
        <v>92.323250249861715</v>
      </c>
      <c r="F27" s="49">
        <v>87.896361279111929</v>
      </c>
      <c r="G27" s="49">
        <v>80.149965599113543</v>
      </c>
      <c r="H27" s="49">
        <v>57.360910597574737</v>
      </c>
      <c r="I27" s="50">
        <v>43.986149507359343</v>
      </c>
      <c r="J27" s="24"/>
      <c r="K27" s="24"/>
      <c r="L27" s="74" t="str">
        <f t="shared" si="3"/>
        <v xml:space="preserve">    93.0031071714213, 92.8826659008067, 92.3232502498617, 87.8963612791119, 80.1499655991135, 57.3609105975747, 43.9861495073593,</v>
      </c>
      <c r="M27" s="29" t="s">
        <v>17</v>
      </c>
      <c r="N27" s="20" t="s">
        <v>8</v>
      </c>
      <c r="O27" s="48">
        <v>3.8815673789284708</v>
      </c>
      <c r="P27" s="49">
        <v>4.3723258101522813</v>
      </c>
      <c r="Q27" s="49">
        <v>4.2934275551121281</v>
      </c>
      <c r="R27" s="49">
        <v>5.2017150988587044</v>
      </c>
      <c r="S27" s="49">
        <v>7.2625504458350916</v>
      </c>
      <c r="T27" s="49">
        <v>11.40658683680142</v>
      </c>
      <c r="U27" s="50">
        <v>9.5393474867950871</v>
      </c>
      <c r="V27" s="74" t="str">
        <f t="shared" si="2"/>
        <v xml:space="preserve">    3.88156737892847, 4.37232581015228, 4.29342755511213, 5.2017150988587, 7.26255044583509, 11.4065868368014, 9.53934748679509,</v>
      </c>
    </row>
    <row r="28" spans="1:22" ht="15.75" thickBot="1" x14ac:dyDescent="0.25">
      <c r="A28" s="83" t="s">
        <v>22</v>
      </c>
      <c r="B28" s="84"/>
      <c r="C28" s="86"/>
      <c r="D28" s="86"/>
      <c r="E28" s="86"/>
      <c r="F28" s="86"/>
      <c r="G28" s="86"/>
      <c r="H28" s="86"/>
      <c r="I28" s="87"/>
      <c r="J28" s="24"/>
      <c r="K28" s="24"/>
      <c r="L28" s="74"/>
      <c r="M28" s="83" t="s">
        <v>22</v>
      </c>
      <c r="N28" s="84"/>
      <c r="O28" s="86"/>
      <c r="P28" s="86"/>
      <c r="Q28" s="86"/>
      <c r="R28" s="86"/>
      <c r="S28" s="86"/>
      <c r="T28" s="86"/>
      <c r="U28" s="87"/>
      <c r="V28" s="74"/>
    </row>
    <row r="29" spans="1:22" ht="14.25" customHeight="1" thickBot="1" x14ac:dyDescent="0.25">
      <c r="A29" s="83" t="s">
        <v>9</v>
      </c>
      <c r="B29" s="85"/>
      <c r="C29" s="61">
        <v>92.603769819293618</v>
      </c>
      <c r="D29" s="62">
        <v>91.431947068352812</v>
      </c>
      <c r="E29" s="62">
        <v>90.390795042999585</v>
      </c>
      <c r="F29" s="62">
        <v>86.789562828222273</v>
      </c>
      <c r="G29" s="62">
        <v>80.615554033052248</v>
      </c>
      <c r="H29" s="62">
        <v>56.609578553133908</v>
      </c>
      <c r="I29" s="63">
        <v>41.27928062292434</v>
      </c>
      <c r="J29" s="24"/>
      <c r="K29" s="24"/>
      <c r="L29" s="74" t="str">
        <f t="shared" ref="L29:L32" si="4">"    "&amp;_xlfn.TEXTJOIN(", ",TRUE,C29:I29)&amp;","</f>
        <v xml:space="preserve">    92.6037698192936, 91.4319470683528, 90.3907950429996, 86.7895628282223, 80.6155540330522, 56.6095785531339, 41.2792806229243,</v>
      </c>
      <c r="M29" s="83" t="s">
        <v>9</v>
      </c>
      <c r="N29" s="85"/>
      <c r="O29" s="61">
        <v>3.708759274801273</v>
      </c>
      <c r="P29" s="62">
        <v>3.9640390541215931</v>
      </c>
      <c r="Q29" s="62">
        <v>3.7067998106756881</v>
      </c>
      <c r="R29" s="62">
        <v>3.667452632531309</v>
      </c>
      <c r="S29" s="62">
        <v>5.7548227051500218</v>
      </c>
      <c r="T29" s="62">
        <v>8.5366536877555248</v>
      </c>
      <c r="U29" s="63">
        <v>6.3187793027043018</v>
      </c>
      <c r="V29" s="74" t="str">
        <f t="shared" si="2"/>
        <v xml:space="preserve">    3.70875927480127, 3.96403905412159, 3.70679981067569, 3.66745263253131, 5.75482270515002, 8.53665368775552, 6.3187793027043,</v>
      </c>
    </row>
    <row r="30" spans="1:22" ht="15.75" thickBot="1" x14ac:dyDescent="0.25">
      <c r="A30" s="88" t="s">
        <v>10</v>
      </c>
      <c r="B30" s="87"/>
      <c r="C30" s="64">
        <v>91.377634404932721</v>
      </c>
      <c r="D30" s="65">
        <v>90.405373333245066</v>
      </c>
      <c r="E30" s="65">
        <v>89.371480308332721</v>
      </c>
      <c r="F30" s="65">
        <v>87.60989862639515</v>
      </c>
      <c r="G30" s="65">
        <v>85.537230701510694</v>
      </c>
      <c r="H30" s="65">
        <v>70.930708745421484</v>
      </c>
      <c r="I30" s="66">
        <v>44.097326232806537</v>
      </c>
      <c r="J30" s="24"/>
      <c r="K30" s="24"/>
      <c r="L30" s="74" t="str">
        <f t="shared" si="4"/>
        <v xml:space="preserve">    91.3776344049327, 90.4053733332451, 89.3714803083327, 87.6098986263952, 85.5372307015107, 70.9307087454215, 44.0973262328065,</v>
      </c>
      <c r="M30" s="83" t="s">
        <v>10</v>
      </c>
      <c r="N30" s="85"/>
      <c r="O30" s="64">
        <v>3.5684194304484111</v>
      </c>
      <c r="P30" s="65">
        <v>3.0347581440341318</v>
      </c>
      <c r="Q30" s="65">
        <v>2.754130276526872</v>
      </c>
      <c r="R30" s="65">
        <v>2.7768782002466339</v>
      </c>
      <c r="S30" s="65">
        <v>3.3184641894178428</v>
      </c>
      <c r="T30" s="65">
        <v>4.9795199020249923</v>
      </c>
      <c r="U30" s="66">
        <v>2.9223071611371929</v>
      </c>
      <c r="V30" s="74" t="str">
        <f t="shared" si="2"/>
        <v xml:space="preserve">    3.56841943044841, 3.03475814403413, 2.75413027652687, 2.77687820024663, 3.31846418941784, 4.97951990202499, 2.92230716113719,</v>
      </c>
    </row>
    <row r="31" spans="1:22" ht="14.25" customHeight="1" thickBot="1" x14ac:dyDescent="0.25">
      <c r="A31" s="83" t="s">
        <v>18</v>
      </c>
      <c r="B31" s="85"/>
      <c r="C31" s="64">
        <v>92.603715202692385</v>
      </c>
      <c r="D31" s="65">
        <v>91.484997502720319</v>
      </c>
      <c r="E31" s="65">
        <v>90.630171299324857</v>
      </c>
      <c r="F31" s="65">
        <v>85.342034697064548</v>
      </c>
      <c r="G31" s="65">
        <v>78.208607944308184</v>
      </c>
      <c r="H31" s="65">
        <v>58.188767254712552</v>
      </c>
      <c r="I31" s="66">
        <v>45.468919562576168</v>
      </c>
      <c r="J31" s="24"/>
      <c r="K31" s="24"/>
      <c r="L31" s="74" t="str">
        <f t="shared" si="4"/>
        <v xml:space="preserve">    92.6037152026924, 91.4849975027203, 90.6301712993249, 85.3420346970645, 78.2086079443082, 58.1887672547126, 45.4689195625762,</v>
      </c>
      <c r="M31" s="83" t="s">
        <v>18</v>
      </c>
      <c r="N31" s="85"/>
      <c r="O31" s="64">
        <v>4.0727132923350373</v>
      </c>
      <c r="P31" s="65">
        <v>4.4231285957629458</v>
      </c>
      <c r="Q31" s="65">
        <v>4.3011534303531356</v>
      </c>
      <c r="R31" s="65">
        <v>4.8453894583465429</v>
      </c>
      <c r="S31" s="65">
        <v>7.5589700135942426</v>
      </c>
      <c r="T31" s="65">
        <v>10.3740336621021</v>
      </c>
      <c r="U31" s="66">
        <v>10.707618741543239</v>
      </c>
      <c r="V31" s="74" t="str">
        <f t="shared" si="2"/>
        <v xml:space="preserve">    4.07271329233504, 4.42312859576295, 4.30115343035314, 4.84538945834654, 7.55897001359424, 10.3740336621021, 10.7076187415432,</v>
      </c>
    </row>
    <row r="32" spans="1:22" ht="15.75" thickBot="1" x14ac:dyDescent="0.25">
      <c r="A32" s="83" t="s">
        <v>19</v>
      </c>
      <c r="B32" s="85"/>
      <c r="C32" s="67">
        <v>92.692685851985146</v>
      </c>
      <c r="D32" s="68">
        <v>91.028008929063319</v>
      </c>
      <c r="E32" s="68">
        <v>89.101176850288709</v>
      </c>
      <c r="F32" s="68">
        <v>84.121695311135312</v>
      </c>
      <c r="G32" s="68">
        <v>75.514536359946376</v>
      </c>
      <c r="H32" s="68">
        <v>58.551851548300363</v>
      </c>
      <c r="I32" s="69">
        <v>43.528644478603361</v>
      </c>
      <c r="J32" s="24"/>
      <c r="K32" s="24"/>
      <c r="L32" s="74" t="str">
        <f t="shared" si="4"/>
        <v xml:space="preserve">    92.6926858519851, 91.0280089290633, 89.1011768502887, 84.1216953111353, 75.5145363599464, 58.5518515483004, 43.5286444786034,</v>
      </c>
      <c r="M32" s="83" t="s">
        <v>19</v>
      </c>
      <c r="N32" s="85"/>
      <c r="O32" s="67">
        <v>4.3508377678439567</v>
      </c>
      <c r="P32" s="68">
        <v>5.1455197984597092</v>
      </c>
      <c r="Q32" s="68">
        <v>5.0319449257944937</v>
      </c>
      <c r="R32" s="68">
        <v>5.4881092234662896</v>
      </c>
      <c r="S32" s="68">
        <v>8.3963724907401343</v>
      </c>
      <c r="T32" s="68">
        <v>11.26477476806841</v>
      </c>
      <c r="U32" s="69">
        <v>10.478269846537319</v>
      </c>
      <c r="V32" s="74" t="str">
        <f t="shared" si="2"/>
        <v xml:space="preserve">    4.35083776784396, 5.14551979845971, 5.03194492579449, 5.48810922346629, 8.39637249074013, 11.2647747680684, 10.4782698465373,</v>
      </c>
    </row>
    <row r="34" spans="5:21" ht="15" x14ac:dyDescent="0.2">
      <c r="J34" s="2"/>
      <c r="K34" s="2"/>
      <c r="L34" s="75"/>
      <c r="M34" s="2"/>
      <c r="N34" s="2"/>
      <c r="O34" s="2"/>
      <c r="P34" s="2"/>
      <c r="Q34" s="2"/>
      <c r="R34" s="2"/>
      <c r="S34" s="2"/>
      <c r="T34" s="2"/>
      <c r="U34" s="2"/>
    </row>
    <row r="35" spans="5:21" ht="15" x14ac:dyDescent="0.2">
      <c r="J35" s="2"/>
      <c r="K35" s="2"/>
      <c r="L35" s="75"/>
      <c r="M35" s="2"/>
      <c r="N35" s="2"/>
      <c r="O35" s="2"/>
      <c r="P35" s="2"/>
      <c r="Q35" s="2"/>
      <c r="R35" s="2"/>
      <c r="S35" s="2"/>
      <c r="T35" s="2"/>
      <c r="U35" s="2"/>
    </row>
    <row r="36" spans="5:21" ht="15" x14ac:dyDescent="0.2">
      <c r="L36" s="75"/>
      <c r="M36" s="2"/>
      <c r="N36" s="2"/>
      <c r="O36" s="2"/>
      <c r="P36" s="2"/>
      <c r="Q36" s="2"/>
      <c r="R36" s="2"/>
      <c r="S36" s="2"/>
      <c r="T36" s="2"/>
      <c r="U36" s="2"/>
    </row>
    <row r="37" spans="5:21" ht="15" x14ac:dyDescent="0.2">
      <c r="L37" s="75"/>
      <c r="M37" s="2"/>
      <c r="N37" s="2"/>
      <c r="O37" s="2"/>
      <c r="P37" s="2"/>
      <c r="Q37" s="2"/>
      <c r="R37" s="2"/>
      <c r="S37" s="2"/>
      <c r="T37" s="2"/>
      <c r="U37" s="2"/>
    </row>
    <row r="38" spans="5:21" ht="15" x14ac:dyDescent="0.2">
      <c r="L38" s="75"/>
      <c r="M38" s="2"/>
      <c r="N38" s="2"/>
      <c r="O38" s="2"/>
      <c r="P38" s="2"/>
      <c r="Q38" s="2"/>
      <c r="R38" s="2"/>
      <c r="S38" s="2"/>
      <c r="T38" s="2"/>
      <c r="U38" s="2"/>
    </row>
    <row r="39" spans="5:21" ht="15" x14ac:dyDescent="0.2">
      <c r="L39" s="75"/>
      <c r="M39" s="2"/>
      <c r="N39" s="2"/>
      <c r="O39" s="2"/>
      <c r="P39" s="2"/>
      <c r="Q39" s="2"/>
      <c r="R39" s="2"/>
      <c r="S39" s="2"/>
      <c r="T39" s="2"/>
      <c r="U39" s="2"/>
    </row>
    <row r="40" spans="5:21" ht="15" x14ac:dyDescent="0.2">
      <c r="L40" s="75"/>
      <c r="M40" s="2"/>
      <c r="N40" s="2"/>
      <c r="O40" s="2"/>
      <c r="P40" s="2"/>
      <c r="Q40" s="2"/>
      <c r="R40" s="2"/>
      <c r="S40" s="2"/>
      <c r="T40" s="2"/>
      <c r="U40" s="2"/>
    </row>
    <row r="41" spans="5:21" ht="15" x14ac:dyDescent="0.2">
      <c r="M41" s="2"/>
      <c r="N41" s="2"/>
      <c r="O41" s="2"/>
      <c r="P41" s="2"/>
      <c r="Q41" s="2"/>
      <c r="R41" s="2"/>
      <c r="S41" s="2"/>
      <c r="T41" s="2"/>
      <c r="U41" s="2"/>
    </row>
    <row r="42" spans="5:21" ht="15" x14ac:dyDescent="0.2">
      <c r="E42" s="2"/>
      <c r="J42" s="2"/>
      <c r="M42" s="2"/>
      <c r="N42" s="2"/>
      <c r="O42" s="2"/>
      <c r="P42" s="2"/>
      <c r="Q42" s="2"/>
      <c r="R42" s="2"/>
      <c r="S42" s="2"/>
      <c r="T42" s="2"/>
      <c r="U42" s="2"/>
    </row>
    <row r="43" spans="5:21" ht="15" x14ac:dyDescent="0.2">
      <c r="E43" s="2"/>
      <c r="M43" s="2"/>
      <c r="N43" s="2"/>
      <c r="O43" s="2"/>
      <c r="P43" s="2"/>
      <c r="Q43" s="2"/>
      <c r="R43" s="2"/>
      <c r="S43" s="2"/>
      <c r="T43" s="2"/>
      <c r="U43" s="2"/>
    </row>
    <row r="44" spans="5:21" ht="15" x14ac:dyDescent="0.2">
      <c r="L44" s="75"/>
      <c r="M44" s="2"/>
      <c r="N44" s="2"/>
      <c r="O44" s="2"/>
      <c r="P44" s="2"/>
      <c r="Q44" s="2"/>
      <c r="R44" s="2"/>
      <c r="S44" s="2"/>
      <c r="T44" s="2"/>
      <c r="U44" s="2"/>
    </row>
  </sheetData>
  <mergeCells count="38">
    <mergeCell ref="A32:B32"/>
    <mergeCell ref="M32:N32"/>
    <mergeCell ref="A28:I28"/>
    <mergeCell ref="M28:U28"/>
    <mergeCell ref="A29:B29"/>
    <mergeCell ref="M29:N29"/>
    <mergeCell ref="A30:B30"/>
    <mergeCell ref="M30:N30"/>
    <mergeCell ref="A21:B21"/>
    <mergeCell ref="M21:N21"/>
    <mergeCell ref="A22:I22"/>
    <mergeCell ref="M22:U22"/>
    <mergeCell ref="A31:B31"/>
    <mergeCell ref="M31:N31"/>
    <mergeCell ref="A18:I18"/>
    <mergeCell ref="M18:U18"/>
    <mergeCell ref="A19:B19"/>
    <mergeCell ref="M19:N19"/>
    <mergeCell ref="A20:B20"/>
    <mergeCell ref="M20:N20"/>
    <mergeCell ref="A13:B13"/>
    <mergeCell ref="M13:N13"/>
    <mergeCell ref="A14:B14"/>
    <mergeCell ref="M14:N14"/>
    <mergeCell ref="A15:B15"/>
    <mergeCell ref="M15:N15"/>
    <mergeCell ref="A5:I5"/>
    <mergeCell ref="M5:U5"/>
    <mergeCell ref="A11:I11"/>
    <mergeCell ref="M11:U11"/>
    <mergeCell ref="A12:B12"/>
    <mergeCell ref="M12:N12"/>
    <mergeCell ref="A2:I2"/>
    <mergeCell ref="M2:U2"/>
    <mergeCell ref="A3:B3"/>
    <mergeCell ref="M3:N3"/>
    <mergeCell ref="A4:B4"/>
    <mergeCell ref="M4:N4"/>
  </mergeCells>
  <phoneticPr fontId="1" type="noConversion"/>
  <conditionalFormatting sqref="C3:I4 C6:I10 C12:I15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3:I4">
    <cfRule type="colorScale" priority="11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6:I10 C3:I4">
    <cfRule type="colorScale" priority="2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2:I14">
    <cfRule type="colorScale" priority="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0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2:I15">
    <cfRule type="colorScale" priority="1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:J15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:K15">
    <cfRule type="colorScale" priority="21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:K5 C4:K4">
    <cfRule type="colorScale" priority="21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1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15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1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1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1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:K15 C3:K4">
    <cfRule type="colorScale" priority="22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3:K15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29D5C-8639-4163-9432-7C70C26E1499}">
  <dimension ref="A1:V44"/>
  <sheetViews>
    <sheetView zoomScaleNormal="100" workbookViewId="0"/>
  </sheetViews>
  <sheetFormatPr defaultRowHeight="14.25" x14ac:dyDescent="0.2"/>
  <cols>
    <col min="1" max="2" width="15" style="1" customWidth="1"/>
    <col min="3" max="11" width="9" style="1"/>
    <col min="12" max="12" width="9" style="76"/>
    <col min="13" max="14" width="15" style="1" customWidth="1"/>
    <col min="15" max="21" width="9" style="1"/>
    <col min="22" max="22" width="9" style="76"/>
    <col min="23" max="16384" width="9" style="1"/>
  </cols>
  <sheetData>
    <row r="1" spans="1:22" ht="15.75" thickBot="1" x14ac:dyDescent="0.25">
      <c r="A1" s="3" t="s">
        <v>0</v>
      </c>
      <c r="B1" s="4" t="s">
        <v>1</v>
      </c>
      <c r="C1" s="11">
        <v>1</v>
      </c>
      <c r="D1" s="11">
        <v>0.75</v>
      </c>
      <c r="E1" s="11">
        <v>0.5</v>
      </c>
      <c r="F1" s="11">
        <v>0.3</v>
      </c>
      <c r="G1" s="11">
        <v>0.2</v>
      </c>
      <c r="H1" s="11">
        <v>0.1</v>
      </c>
      <c r="I1" s="12">
        <v>0.05</v>
      </c>
      <c r="J1" s="13" t="s">
        <v>11</v>
      </c>
      <c r="K1" s="13" t="s">
        <v>11</v>
      </c>
      <c r="L1" s="72"/>
      <c r="M1" s="3" t="s">
        <v>3</v>
      </c>
      <c r="N1" s="4" t="s">
        <v>1</v>
      </c>
      <c r="O1" s="5">
        <v>1</v>
      </c>
      <c r="P1" s="11">
        <v>0.75</v>
      </c>
      <c r="Q1" s="11">
        <v>0.5</v>
      </c>
      <c r="R1" s="11">
        <v>0.3</v>
      </c>
      <c r="S1" s="11">
        <v>0.2</v>
      </c>
      <c r="T1" s="11">
        <v>0.1</v>
      </c>
      <c r="U1" s="12">
        <v>0.05</v>
      </c>
      <c r="V1" s="72"/>
    </row>
    <row r="2" spans="1:22" ht="15.75" thickBot="1" x14ac:dyDescent="0.25">
      <c r="A2" s="77" t="s">
        <v>20</v>
      </c>
      <c r="B2" s="78"/>
      <c r="C2" s="78"/>
      <c r="D2" s="78"/>
      <c r="E2" s="78"/>
      <c r="F2" s="78"/>
      <c r="G2" s="78"/>
      <c r="H2" s="78"/>
      <c r="I2" s="79"/>
      <c r="J2" s="13"/>
      <c r="K2" s="13"/>
      <c r="L2" s="72"/>
      <c r="M2" s="77" t="s">
        <v>20</v>
      </c>
      <c r="N2" s="78"/>
      <c r="O2" s="78"/>
      <c r="P2" s="78"/>
      <c r="Q2" s="78"/>
      <c r="R2" s="78"/>
      <c r="S2" s="78"/>
      <c r="T2" s="78"/>
      <c r="U2" s="79"/>
      <c r="V2" s="72"/>
    </row>
    <row r="3" spans="1:22" ht="15.75" thickBot="1" x14ac:dyDescent="0.25">
      <c r="A3" s="77" t="s">
        <v>6</v>
      </c>
      <c r="B3" s="79"/>
      <c r="C3" s="15">
        <v>93.101364775358491</v>
      </c>
      <c r="D3" s="16">
        <v>91.326663725464783</v>
      </c>
      <c r="E3" s="16">
        <v>89.722561037148537</v>
      </c>
      <c r="F3" s="16">
        <v>83.857204647099024</v>
      </c>
      <c r="G3" s="16">
        <v>76.242949045118635</v>
      </c>
      <c r="H3" s="16">
        <v>60.40277741733636</v>
      </c>
      <c r="I3" s="17">
        <v>47.740900296138662</v>
      </c>
      <c r="J3" s="18" cm="1">
        <f t="array" ref="J3">-SUMPRODUCT((D1:H1-C1:G1)*(C3:G3+D3:H3)/2)</f>
        <v>77.879927234087958</v>
      </c>
      <c r="K3" s="18" cm="1">
        <f t="array" ref="K3">-SUMPRODUCT((D1:I1-C1:H1)*(C3:H3+D3:I3)/2)</f>
        <v>80.583519176924838</v>
      </c>
      <c r="L3" s="72" t="str">
        <f>"    "&amp;_xlfn.TEXTJOIN(", ",TRUE,C3:I3)&amp;","</f>
        <v xml:space="preserve">    93.1013647753585, 91.3266637254648, 89.7225610371485, 83.857204647099, 76.2429490451186, 60.4027774173364, 47.7409002961387,</v>
      </c>
      <c r="M3" s="77" t="s">
        <v>6</v>
      </c>
      <c r="N3" s="79"/>
      <c r="O3" s="15">
        <v>3.4649270444699574</v>
      </c>
      <c r="P3" s="16">
        <v>4.4611797621615326</v>
      </c>
      <c r="Q3" s="16">
        <v>4.7712065248821434</v>
      </c>
      <c r="R3" s="16">
        <v>5.3965689103010375</v>
      </c>
      <c r="S3" s="16">
        <v>7.9323757260741923</v>
      </c>
      <c r="T3" s="16">
        <v>9.9900413492801565</v>
      </c>
      <c r="U3" s="17">
        <v>9.7565309936118432</v>
      </c>
      <c r="V3" s="72" t="str">
        <f>"    "&amp;_xlfn.TEXTJOIN(", ",TRUE,O3:U3)&amp;","</f>
        <v xml:space="preserve">    3.46492704446996, 4.46117976216153, 4.77120652488214, 5.39656891030104, 7.93237572607419, 9.99004134928016, 9.75653099361184,</v>
      </c>
    </row>
    <row r="4" spans="1:22" ht="15.75" thickBot="1" x14ac:dyDescent="0.25">
      <c r="A4" s="77" t="s">
        <v>12</v>
      </c>
      <c r="B4" s="79"/>
      <c r="C4" s="22">
        <v>87.593900000000005</v>
      </c>
      <c r="D4" s="33">
        <v>87.663716814159287</v>
      </c>
      <c r="E4" s="33">
        <v>88.112094395280209</v>
      </c>
      <c r="F4" s="33">
        <v>87.970025692263789</v>
      </c>
      <c r="G4" s="33">
        <v>87.461708146264243</v>
      </c>
      <c r="H4" s="33">
        <v>75.251363189416281</v>
      </c>
      <c r="I4" s="34">
        <v>47.720683858280204</v>
      </c>
      <c r="J4" s="18" cm="1">
        <f t="array" ref="J4">-SUMPRODUCT((D1:H1-C1:G1)*(C4:G4+D4:H4)/2)</f>
        <v>78.394630770414679</v>
      </c>
      <c r="K4" s="18" cm="1">
        <f t="array" ref="K4">-SUMPRODUCT((D1:I1-C1:H1)*(C4:H4+D4:I4)/2)</f>
        <v>81.468931946607086</v>
      </c>
      <c r="L4" s="72" t="str">
        <f>"    "&amp;_xlfn.TEXTJOIN(", ",TRUE,C4:I4)&amp;","</f>
        <v xml:space="preserve">    87.5939, 87.6637168141593, 88.1120943952802, 87.9700256922638, 87.4617081462642, 75.2513631894163, 47.7206838582802,</v>
      </c>
      <c r="M4" s="77" t="s">
        <v>12</v>
      </c>
      <c r="N4" s="79"/>
      <c r="O4" s="51">
        <v>2.4529187882918819</v>
      </c>
      <c r="P4" s="33">
        <v>2.16276566139488</v>
      </c>
      <c r="Q4" s="33">
        <v>2.2973398804747198</v>
      </c>
      <c r="R4" s="33">
        <v>2.134165319654592</v>
      </c>
      <c r="S4" s="33">
        <v>2.3834878752826651</v>
      </c>
      <c r="T4" s="33">
        <v>3.787986046410059</v>
      </c>
      <c r="U4" s="34">
        <v>3.7419646549723868</v>
      </c>
      <c r="V4" s="72" t="str">
        <f t="shared" ref="V4:V10" si="0">"    "&amp;_xlfn.TEXTJOIN(", ",TRUE,O4:U4)&amp;","</f>
        <v xml:space="preserve">    2.45291878829188, 2.16276566139488, 2.29733988047472, 2.13416531965459, 2.38348787528267, 3.78798604641006, 3.74196465497239,</v>
      </c>
    </row>
    <row r="5" spans="1:22" ht="15.75" thickBot="1" x14ac:dyDescent="0.25">
      <c r="A5" s="77" t="s">
        <v>21</v>
      </c>
      <c r="B5" s="78"/>
      <c r="C5" s="78"/>
      <c r="D5" s="78"/>
      <c r="E5" s="78"/>
      <c r="F5" s="78"/>
      <c r="G5" s="78"/>
      <c r="H5" s="78"/>
      <c r="I5" s="79"/>
      <c r="J5" s="18"/>
      <c r="K5" s="18"/>
      <c r="L5" s="72"/>
      <c r="M5" s="77" t="s">
        <v>21</v>
      </c>
      <c r="N5" s="78"/>
      <c r="O5" s="78"/>
      <c r="P5" s="78"/>
      <c r="Q5" s="78"/>
      <c r="R5" s="78"/>
      <c r="S5" s="78"/>
      <c r="T5" s="78"/>
      <c r="U5" s="79"/>
      <c r="V5" s="72"/>
    </row>
    <row r="6" spans="1:22" ht="15.75" customHeight="1" thickBot="1" x14ac:dyDescent="0.25">
      <c r="A6" s="21" t="s">
        <v>13</v>
      </c>
      <c r="B6" s="19" t="s">
        <v>8</v>
      </c>
      <c r="C6" s="35"/>
      <c r="D6" s="36"/>
      <c r="E6" s="36"/>
      <c r="F6" s="36"/>
      <c r="G6" s="36"/>
      <c r="H6" s="36"/>
      <c r="I6" s="37"/>
      <c r="J6" s="18" cm="1">
        <f t="array" ref="J6">-SUMPRODUCT((D1:H1-C1:G1)*(C6:G6+D6:H6)/2)</f>
        <v>0</v>
      </c>
      <c r="K6" s="18" cm="1">
        <f t="array" ref="K6">-SUMPRODUCT((D1:I1-C1:H1)*(C6:H6+D6:I6)/2)</f>
        <v>0</v>
      </c>
      <c r="L6" s="72" t="str">
        <f>"    "&amp;_xlfn.TEXTJOIN(", ",TRUE,C6:I6)&amp;","</f>
        <v xml:space="preserve">    ,</v>
      </c>
      <c r="M6" s="21" t="s">
        <v>13</v>
      </c>
      <c r="N6" s="19" t="s">
        <v>8</v>
      </c>
      <c r="O6" s="35"/>
      <c r="P6" s="36"/>
      <c r="Q6" s="36"/>
      <c r="R6" s="36"/>
      <c r="S6" s="36"/>
      <c r="T6" s="36"/>
      <c r="U6" s="37"/>
      <c r="V6" s="72" t="str">
        <f t="shared" si="0"/>
        <v xml:space="preserve">    ,</v>
      </c>
    </row>
    <row r="7" spans="1:22" ht="15.75" customHeight="1" thickBot="1" x14ac:dyDescent="0.25">
      <c r="A7" s="21" t="s">
        <v>14</v>
      </c>
      <c r="B7" s="19" t="s">
        <v>8</v>
      </c>
      <c r="C7" s="38"/>
      <c r="D7" s="70"/>
      <c r="E7" s="70"/>
      <c r="F7" s="70"/>
      <c r="G7" s="70"/>
      <c r="H7" s="70"/>
      <c r="I7" s="39"/>
      <c r="J7" s="18" cm="1">
        <f t="array" ref="J7">-SUMPRODUCT((D1:H1-C1:G1)*(C7:G7+D7:H7)/2)</f>
        <v>0</v>
      </c>
      <c r="K7" s="18" cm="1">
        <f t="array" ref="K7">-SUMPRODUCT((D1:I1-C1:H1)*(C7:H7+D7:I7)/2)</f>
        <v>0</v>
      </c>
      <c r="L7" s="72" t="str">
        <f>"    "&amp;_xlfn.TEXTJOIN(", ",TRUE,C7:I7)&amp;","</f>
        <v xml:space="preserve">    ,</v>
      </c>
      <c r="M7" s="21" t="s">
        <v>14</v>
      </c>
      <c r="N7" s="19" t="s">
        <v>8</v>
      </c>
      <c r="O7" s="38"/>
      <c r="P7" s="70"/>
      <c r="Q7" s="70"/>
      <c r="R7" s="70"/>
      <c r="S7" s="70"/>
      <c r="T7" s="70"/>
      <c r="U7" s="39"/>
      <c r="V7" s="72" t="str">
        <f t="shared" si="0"/>
        <v xml:space="preserve">    ,</v>
      </c>
    </row>
    <row r="8" spans="1:22" ht="15.75" customHeight="1" thickBot="1" x14ac:dyDescent="0.25">
      <c r="A8" s="21" t="s">
        <v>15</v>
      </c>
      <c r="B8" s="19" t="s">
        <v>8</v>
      </c>
      <c r="C8" s="38"/>
      <c r="D8" s="70"/>
      <c r="E8" s="70"/>
      <c r="F8" s="70"/>
      <c r="G8" s="70"/>
      <c r="H8" s="70"/>
      <c r="I8" s="39"/>
      <c r="J8" s="18" cm="1">
        <f t="array" ref="J8">-SUMPRODUCT((D1:H1-C1:G1)*(C8:G8+D8:H8)/2)</f>
        <v>0</v>
      </c>
      <c r="K8" s="18" cm="1">
        <f t="array" ref="K8">-SUMPRODUCT((D1:I1-C1:H1)*(C8:H8+D8:I8)/2)</f>
        <v>0</v>
      </c>
      <c r="L8" s="72" t="str">
        <f>"    "&amp;_xlfn.TEXTJOIN(", ",TRUE,C8:I8)&amp;","</f>
        <v xml:space="preserve">    ,</v>
      </c>
      <c r="M8" s="21" t="s">
        <v>15</v>
      </c>
      <c r="N8" s="19" t="s">
        <v>8</v>
      </c>
      <c r="O8" s="38"/>
      <c r="P8" s="70"/>
      <c r="Q8" s="70"/>
      <c r="R8" s="70"/>
      <c r="S8" s="70"/>
      <c r="T8" s="70"/>
      <c r="U8" s="39"/>
      <c r="V8" s="72" t="str">
        <f t="shared" si="0"/>
        <v xml:space="preserve">    ,</v>
      </c>
    </row>
    <row r="9" spans="1:22" ht="15.75" customHeight="1" thickBot="1" x14ac:dyDescent="0.25">
      <c r="A9" s="21" t="s">
        <v>16</v>
      </c>
      <c r="B9" s="19" t="s">
        <v>8</v>
      </c>
      <c r="C9" s="38"/>
      <c r="D9" s="70"/>
      <c r="E9" s="70"/>
      <c r="F9" s="70"/>
      <c r="G9" s="70"/>
      <c r="H9" s="70"/>
      <c r="I9" s="39"/>
      <c r="J9" s="18" cm="1">
        <f t="array" ref="J9">-SUMPRODUCT((D1:H1-C1:G1)*(C9:G9+D9:H9)/2)</f>
        <v>0</v>
      </c>
      <c r="K9" s="18" cm="1">
        <f t="array" ref="K9">-SUMPRODUCT((D1:I1-C1:H1)*(C9:H9+D9:I9)/2)</f>
        <v>0</v>
      </c>
      <c r="L9" s="72" t="str">
        <f>"    "&amp;_xlfn.TEXTJOIN(", ",TRUE,C9:I9)&amp;","</f>
        <v xml:space="preserve">    ,</v>
      </c>
      <c r="M9" s="21" t="s">
        <v>16</v>
      </c>
      <c r="N9" s="19" t="s">
        <v>8</v>
      </c>
      <c r="O9" s="38"/>
      <c r="P9" s="70"/>
      <c r="Q9" s="70"/>
      <c r="R9" s="70"/>
      <c r="S9" s="70"/>
      <c r="T9" s="70"/>
      <c r="U9" s="39"/>
      <c r="V9" s="72" t="str">
        <f t="shared" si="0"/>
        <v xml:space="preserve">    ,</v>
      </c>
    </row>
    <row r="10" spans="1:22" ht="15.75" customHeight="1" thickBot="1" x14ac:dyDescent="0.25">
      <c r="A10" s="4" t="s">
        <v>17</v>
      </c>
      <c r="B10" s="19" t="s">
        <v>8</v>
      </c>
      <c r="C10" s="40"/>
      <c r="D10" s="41"/>
      <c r="E10" s="41"/>
      <c r="F10" s="41"/>
      <c r="G10" s="41"/>
      <c r="H10" s="41"/>
      <c r="I10" s="42"/>
      <c r="J10" s="18" cm="1">
        <f t="array" ref="J10">-SUMPRODUCT((D1:H1-C1:G1)*(C10:G10+D10:H10)/2)</f>
        <v>0</v>
      </c>
      <c r="K10" s="18" cm="1">
        <f t="array" ref="K10">-SUMPRODUCT((D1:I1-C1:H1)*(C10:H10+D10:I10)/2)</f>
        <v>0</v>
      </c>
      <c r="L10" s="72" t="str">
        <f>"    "&amp;_xlfn.TEXTJOIN(", ",TRUE,C10:I10)&amp;","</f>
        <v xml:space="preserve">    ,</v>
      </c>
      <c r="M10" s="4" t="s">
        <v>17</v>
      </c>
      <c r="N10" s="19" t="s">
        <v>8</v>
      </c>
      <c r="O10" s="40"/>
      <c r="P10" s="41"/>
      <c r="Q10" s="41"/>
      <c r="R10" s="41"/>
      <c r="S10" s="41"/>
      <c r="T10" s="41"/>
      <c r="U10" s="42"/>
      <c r="V10" s="72" t="str">
        <f t="shared" si="0"/>
        <v xml:space="preserve">    ,</v>
      </c>
    </row>
    <row r="11" spans="1:22" ht="15.75" customHeight="1" thickBot="1" x14ac:dyDescent="0.25">
      <c r="A11" s="77" t="s">
        <v>22</v>
      </c>
      <c r="B11" s="78"/>
      <c r="C11" s="80"/>
      <c r="D11" s="80"/>
      <c r="E11" s="80"/>
      <c r="F11" s="80"/>
      <c r="G11" s="80"/>
      <c r="H11" s="80"/>
      <c r="I11" s="81"/>
      <c r="J11" s="18"/>
      <c r="K11" s="18"/>
      <c r="L11" s="72"/>
      <c r="M11" s="77" t="s">
        <v>22</v>
      </c>
      <c r="N11" s="78"/>
      <c r="O11" s="80"/>
      <c r="P11" s="80"/>
      <c r="Q11" s="80"/>
      <c r="R11" s="80"/>
      <c r="S11" s="80"/>
      <c r="T11" s="80"/>
      <c r="U11" s="81"/>
      <c r="V11" s="72"/>
    </row>
    <row r="12" spans="1:22" ht="15.75" customHeight="1" thickBot="1" x14ac:dyDescent="0.25">
      <c r="A12" s="77" t="s">
        <v>9</v>
      </c>
      <c r="B12" s="79"/>
      <c r="C12" s="52">
        <v>92.969518190757128</v>
      </c>
      <c r="D12" s="53">
        <v>91.851524090462149</v>
      </c>
      <c r="E12" s="53">
        <v>90.756145526057011</v>
      </c>
      <c r="F12" s="53">
        <v>87.253136561158271</v>
      </c>
      <c r="G12" s="53">
        <v>81.178972136437139</v>
      </c>
      <c r="H12" s="53">
        <v>57.386929529378847</v>
      </c>
      <c r="I12" s="54">
        <v>44.855442809482213</v>
      </c>
      <c r="J12" s="18" cm="1">
        <f t="array" ref="J12">-SUMPRODUCT((D1:H1-C1:G1)*(C12:G12+D12:H12)/2)</f>
        <v>79.079417714109411</v>
      </c>
      <c r="K12" s="18" cm="1">
        <f t="array" ref="K12">-SUMPRODUCT((D1:I1-C1:H1)*(C12:H12+D12:I12)/2)</f>
        <v>81.635477022580943</v>
      </c>
      <c r="L12" s="72" t="str">
        <f>"    "&amp;_xlfn.TEXTJOIN(", ",TRUE,C12:I12)&amp;","</f>
        <v xml:space="preserve">    92.9695181907571, 91.8515240904621, 90.756145526057, 87.2531365611583, 81.1789721364371, 57.3869295293788, 44.8554428094822,</v>
      </c>
      <c r="M12" s="77" t="s">
        <v>9</v>
      </c>
      <c r="N12" s="79"/>
      <c r="O12" s="52">
        <v>3.3991921823554931</v>
      </c>
      <c r="P12" s="53">
        <v>3.6561489783789969</v>
      </c>
      <c r="Q12" s="53">
        <v>3.4316179388806831</v>
      </c>
      <c r="R12" s="53">
        <v>3.3610781227617821</v>
      </c>
      <c r="S12" s="53">
        <v>5.2773835873092807</v>
      </c>
      <c r="T12" s="53">
        <v>8.2027130196510409</v>
      </c>
      <c r="U12" s="54">
        <v>5.203571843512913</v>
      </c>
      <c r="V12" s="72" t="str">
        <f t="shared" ref="V12:V15" si="1">"    "&amp;_xlfn.TEXTJOIN(", ",TRUE,O12:U12)&amp;","</f>
        <v xml:space="preserve">    3.39919218235549, 3.656148978379, 3.43161793888068, 3.36107812276178, 5.27738358730928, 8.20271301965104, 5.20357184351291,</v>
      </c>
    </row>
    <row r="13" spans="1:22" ht="15.75" customHeight="1" thickBot="1" x14ac:dyDescent="0.25">
      <c r="A13" s="82" t="s">
        <v>10</v>
      </c>
      <c r="B13" s="81"/>
      <c r="C13" s="55">
        <v>91.898721730580135</v>
      </c>
      <c r="D13" s="56">
        <v>90.765995668936</v>
      </c>
      <c r="E13" s="56">
        <v>89.705268500015848</v>
      </c>
      <c r="F13" s="56">
        <v>87.959685349065893</v>
      </c>
      <c r="G13" s="56">
        <v>85.750000720882824</v>
      </c>
      <c r="H13" s="56">
        <v>71.387388010853613</v>
      </c>
      <c r="I13" s="57">
        <v>45.596343105620853</v>
      </c>
      <c r="J13" s="18" cm="1">
        <f t="array" ref="J13">-SUMPRODUCT((D1:H1-C1:G1)*(C13:G13+D13:H13)/2)</f>
        <v>79.700846821050931</v>
      </c>
      <c r="K13" s="18" cm="1">
        <f t="array" ref="K13">-SUMPRODUCT((D1:I1-C1:H1)*(C13:H13+D13:I13)/2)</f>
        <v>82.625440098962798</v>
      </c>
      <c r="L13" s="72" t="str">
        <f>"    "&amp;_xlfn.TEXTJOIN(", ",TRUE,C13:I13)&amp;","</f>
        <v xml:space="preserve">    91.8987217305801, 90.765995668936, 89.7052685000158, 87.9596853490659, 85.7500007208828, 71.3873880108536, 45.5963431056209,</v>
      </c>
      <c r="M13" s="77" t="s">
        <v>10</v>
      </c>
      <c r="N13" s="79"/>
      <c r="O13" s="55">
        <v>3.190312271555559</v>
      </c>
      <c r="P13" s="56">
        <v>2.8828036064622768</v>
      </c>
      <c r="Q13" s="56">
        <v>2.5884740771146331</v>
      </c>
      <c r="R13" s="56">
        <v>2.6213450470877251</v>
      </c>
      <c r="S13" s="56">
        <v>3.203569989687661</v>
      </c>
      <c r="T13" s="56">
        <v>4.756712112750666</v>
      </c>
      <c r="U13" s="57">
        <v>2.488810891584841</v>
      </c>
      <c r="V13" s="72" t="str">
        <f t="shared" si="1"/>
        <v xml:space="preserve">    3.19031227155556, 2.88280360646228, 2.58847407711463, 2.62134504708773, 3.20356998968766, 4.75671211275067, 2.48881089158484,</v>
      </c>
    </row>
    <row r="14" spans="1:22" ht="15.75" customHeight="1" thickBot="1" x14ac:dyDescent="0.25">
      <c r="A14" s="77" t="s">
        <v>18</v>
      </c>
      <c r="B14" s="79"/>
      <c r="C14" s="55">
        <v>93.044276622923505</v>
      </c>
      <c r="D14" s="56">
        <v>91.935155148400938</v>
      </c>
      <c r="E14" s="56">
        <v>90.94889229145582</v>
      </c>
      <c r="F14" s="56">
        <v>85.952505356159378</v>
      </c>
      <c r="G14" s="56">
        <v>78.915183810701947</v>
      </c>
      <c r="H14" s="56">
        <v>59.442100133507502</v>
      </c>
      <c r="I14" s="57">
        <v>49.533828147302302</v>
      </c>
      <c r="J14" s="18" cm="1">
        <f t="array" ref="J14">-SUMPRODUCT((D1:H1-C1:G1)*(C14:G14+D14:H14)/2)</f>
        <v>78.834323321712716</v>
      </c>
      <c r="K14" s="18" cm="1">
        <f t="array" ref="K14">-SUMPRODUCT((D1:I1-C1:H1)*(C14:H14+D14:I14)/2)</f>
        <v>81.55872152873296</v>
      </c>
      <c r="L14" s="72" t="str">
        <f>"    "&amp;_xlfn.TEXTJOIN(", ",TRUE,C14:I14)&amp;","</f>
        <v xml:space="preserve">    93.0442766229235, 91.9351551484009, 90.9488922914558, 85.9525053561594, 78.9151838107019, 59.4421001335075, 49.5338281473023,</v>
      </c>
      <c r="M14" s="77" t="s">
        <v>18</v>
      </c>
      <c r="N14" s="79"/>
      <c r="O14" s="55">
        <v>3.72078192123604</v>
      </c>
      <c r="P14" s="56">
        <v>4.0467152776216686</v>
      </c>
      <c r="Q14" s="56">
        <v>4.0235763627769954</v>
      </c>
      <c r="R14" s="56">
        <v>4.4767633212331157</v>
      </c>
      <c r="S14" s="56">
        <v>7.2019016527503927</v>
      </c>
      <c r="T14" s="56">
        <v>10.04668436860082</v>
      </c>
      <c r="U14" s="57">
        <v>9.2355901481835172</v>
      </c>
      <c r="V14" s="72" t="str">
        <f t="shared" si="1"/>
        <v xml:space="preserve">    3.72078192123604, 4.04671527762167, 4.023576362777, 4.47676332123312, 7.20190165275039, 10.0466843686008, 9.23559014818352,</v>
      </c>
    </row>
    <row r="15" spans="1:22" ht="15.75" customHeight="1" thickBot="1" x14ac:dyDescent="0.25">
      <c r="A15" s="77" t="s">
        <v>19</v>
      </c>
      <c r="B15" s="79"/>
      <c r="C15" s="58">
        <v>93.174110502686005</v>
      </c>
      <c r="D15" s="59">
        <v>91.391724841910417</v>
      </c>
      <c r="E15" s="59">
        <v>89.591539142495463</v>
      </c>
      <c r="F15" s="59">
        <v>84.690597092823751</v>
      </c>
      <c r="G15" s="59">
        <v>76.401347185817656</v>
      </c>
      <c r="H15" s="59">
        <v>59.963667505774268</v>
      </c>
      <c r="I15" s="60">
        <v>47.725577210875521</v>
      </c>
      <c r="J15" s="18" cm="1">
        <f t="array" ref="J15">-SUMPRODUCT((D1:H1-C1:G1)*(C15:G15+D15:H15)/2)</f>
        <v>77.994698988168864</v>
      </c>
      <c r="K15" s="18" cm="1">
        <f t="array" ref="K15">-SUMPRODUCT((D1:I1-C1:H1)*(C15:H15+D15:I15)/2)</f>
        <v>80.686930106085114</v>
      </c>
      <c r="L15" s="72" t="str">
        <f>"    "&amp;_xlfn.TEXTJOIN(", ",TRUE,C15:I15)&amp;","</f>
        <v xml:space="preserve">    93.174110502686, 91.3917248419104, 89.5915391424955, 84.6905970928238, 76.4013471858177, 59.9636675057743, 47.7255772108755,</v>
      </c>
      <c r="M15" s="77" t="s">
        <v>19</v>
      </c>
      <c r="N15" s="79"/>
      <c r="O15" s="58">
        <v>3.8766021792735019</v>
      </c>
      <c r="P15" s="59">
        <v>4.8126411406228078</v>
      </c>
      <c r="Q15" s="59">
        <v>4.6512210016047986</v>
      </c>
      <c r="R15" s="59">
        <v>5.2416066355763284</v>
      </c>
      <c r="S15" s="59">
        <v>8.0769588602235256</v>
      </c>
      <c r="T15" s="59">
        <v>10.657363307561541</v>
      </c>
      <c r="U15" s="60">
        <v>9.200486032966916</v>
      </c>
      <c r="V15" s="72" t="str">
        <f t="shared" si="1"/>
        <v xml:space="preserve">    3.8766021792735, 4.81264114062281, 4.6512210016048, 5.24160663557633, 8.07695886022353, 10.6573633075615, 9.20048603296692,</v>
      </c>
    </row>
    <row r="16" spans="1:22" ht="15" thickBot="1" x14ac:dyDescent="0.25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73"/>
      <c r="M16" s="23"/>
      <c r="N16" s="23"/>
      <c r="O16" s="23"/>
      <c r="P16" s="23"/>
      <c r="Q16" s="23"/>
      <c r="R16" s="23"/>
      <c r="S16" s="23"/>
      <c r="T16" s="23"/>
      <c r="U16" s="23"/>
      <c r="V16" s="73"/>
    </row>
    <row r="17" spans="1:22" ht="15.75" thickBot="1" x14ac:dyDescent="0.25">
      <c r="A17" s="6" t="s">
        <v>4</v>
      </c>
      <c r="B17" s="7" t="s">
        <v>1</v>
      </c>
      <c r="C17" s="8">
        <v>1</v>
      </c>
      <c r="D17" s="8">
        <v>0.75</v>
      </c>
      <c r="E17" s="8">
        <v>0.5</v>
      </c>
      <c r="F17" s="8">
        <v>0.3</v>
      </c>
      <c r="G17" s="8">
        <v>0.2</v>
      </c>
      <c r="H17" s="8">
        <v>0.1</v>
      </c>
      <c r="I17" s="7">
        <v>0.05</v>
      </c>
      <c r="J17" s="14"/>
      <c r="K17" s="14"/>
      <c r="L17" s="74"/>
      <c r="M17" s="6" t="s">
        <v>5</v>
      </c>
      <c r="N17" s="7" t="s">
        <v>1</v>
      </c>
      <c r="O17" s="9">
        <v>1</v>
      </c>
      <c r="P17" s="9">
        <v>0.75</v>
      </c>
      <c r="Q17" s="9">
        <v>0.5</v>
      </c>
      <c r="R17" s="9">
        <v>0.3</v>
      </c>
      <c r="S17" s="9">
        <v>0.2</v>
      </c>
      <c r="T17" s="9">
        <v>0.1</v>
      </c>
      <c r="U17" s="10">
        <v>0.05</v>
      </c>
      <c r="V17" s="74"/>
    </row>
    <row r="18" spans="1:22" ht="15.75" thickBot="1" x14ac:dyDescent="0.25">
      <c r="A18" s="83" t="s">
        <v>20</v>
      </c>
      <c r="B18" s="84"/>
      <c r="C18" s="84"/>
      <c r="D18" s="84"/>
      <c r="E18" s="84"/>
      <c r="F18" s="84"/>
      <c r="G18" s="84"/>
      <c r="H18" s="84"/>
      <c r="I18" s="85"/>
      <c r="J18" s="14"/>
      <c r="K18" s="14"/>
      <c r="L18" s="74"/>
      <c r="M18" s="83" t="s">
        <v>20</v>
      </c>
      <c r="N18" s="84"/>
      <c r="O18" s="84"/>
      <c r="P18" s="84"/>
      <c r="Q18" s="84"/>
      <c r="R18" s="84"/>
      <c r="S18" s="84"/>
      <c r="T18" s="84"/>
      <c r="U18" s="85"/>
      <c r="V18" s="74"/>
    </row>
    <row r="19" spans="1:22" ht="15.75" thickBot="1" x14ac:dyDescent="0.25">
      <c r="A19" s="83" t="s">
        <v>6</v>
      </c>
      <c r="B19" s="85"/>
      <c r="C19" s="25">
        <v>92.567111769713335</v>
      </c>
      <c r="D19" s="25">
        <v>90.835858608343599</v>
      </c>
      <c r="E19" s="25">
        <v>89.217505339533233</v>
      </c>
      <c r="F19" s="25">
        <v>83.237245964288078</v>
      </c>
      <c r="G19" s="25">
        <v>75.380430844191011</v>
      </c>
      <c r="H19" s="25">
        <v>58.994367187597383</v>
      </c>
      <c r="I19" s="26">
        <v>43.622535641382179</v>
      </c>
      <c r="J19" s="24"/>
      <c r="K19" s="24"/>
      <c r="L19" s="74" t="str">
        <f>"    "&amp;_xlfn.TEXTJOIN(", ",TRUE,C19:I19)&amp;","</f>
        <v xml:space="preserve">    92.5671117697133, 90.8358586083436, 89.2175053395332, 83.2372459642881, 75.380430844191, 58.9943671875974, 43.6225356413822,</v>
      </c>
      <c r="M19" s="83" t="s">
        <v>2</v>
      </c>
      <c r="N19" s="85"/>
      <c r="O19" s="27">
        <v>3.88093621561358</v>
      </c>
      <c r="P19" s="25">
        <v>4.8164746829677396</v>
      </c>
      <c r="Q19" s="25">
        <v>5.2250608386616522</v>
      </c>
      <c r="R19" s="25">
        <v>5.6675721086724113</v>
      </c>
      <c r="S19" s="25">
        <v>8.3263283482936075</v>
      </c>
      <c r="T19" s="25">
        <v>10.49020927094638</v>
      </c>
      <c r="U19" s="26">
        <v>11.060437347759546</v>
      </c>
      <c r="V19" s="74" t="str">
        <f>"    "&amp;_xlfn.TEXTJOIN(", ",TRUE,O19:U19)&amp;","</f>
        <v xml:space="preserve">    3.88093621561358, 4.81647468296774, 5.22506083866165, 5.66757210867241, 8.32632834829361, 10.4902092709464, 11.0604373477595,</v>
      </c>
    </row>
    <row r="20" spans="1:22" ht="15.75" thickBot="1" x14ac:dyDescent="0.25">
      <c r="A20" s="83" t="s">
        <v>7</v>
      </c>
      <c r="B20" s="85"/>
      <c r="C20" s="25">
        <v>92.866950218042462</v>
      </c>
      <c r="D20" s="25">
        <v>91.242690764745561</v>
      </c>
      <c r="E20" s="25">
        <v>90.137053227698445</v>
      </c>
      <c r="F20" s="25">
        <v>86.080152926613408</v>
      </c>
      <c r="G20" s="25">
        <v>77.410217255196784</v>
      </c>
      <c r="H20" s="25">
        <v>59.676194764980139</v>
      </c>
      <c r="I20" s="26">
        <v>46.395490419404197</v>
      </c>
      <c r="J20" s="24"/>
      <c r="K20" s="24"/>
      <c r="L20" s="74" t="str">
        <f>"    "&amp;_xlfn.TEXTJOIN(", ",TRUE,C20:I20)&amp;","</f>
        <v xml:space="preserve">    92.8669502180425, 91.2426907647456, 90.1370532276984, 86.0801529266134, 77.4102172551968, 59.6761947649801, 46.3954904194042,</v>
      </c>
      <c r="M20" s="83" t="s">
        <v>7</v>
      </c>
      <c r="N20" s="85"/>
      <c r="O20" s="25">
        <v>3.8319643020864191</v>
      </c>
      <c r="P20" s="25">
        <v>4.3603246705255447</v>
      </c>
      <c r="Q20" s="25">
        <v>4.7987735191879262</v>
      </c>
      <c r="R20" s="25">
        <v>5.1262965367330251</v>
      </c>
      <c r="S20" s="25">
        <v>7.087258799823358</v>
      </c>
      <c r="T20" s="25">
        <v>9.7457736576346736</v>
      </c>
      <c r="U20" s="26">
        <v>10.021578856839133</v>
      </c>
      <c r="V20" s="74" t="str">
        <f t="shared" ref="V20:V32" si="2">"    "&amp;_xlfn.TEXTJOIN(", ",TRUE,O20:U20)&amp;","</f>
        <v xml:space="preserve">    3.83196430208642, 4.36032467052554, 4.79877351918793, 5.12629653673303, 7.08725879982336, 9.74577365763467, 10.0215788568391,</v>
      </c>
    </row>
    <row r="21" spans="1:22" ht="15.75" thickBot="1" x14ac:dyDescent="0.25">
      <c r="A21" s="83" t="s">
        <v>12</v>
      </c>
      <c r="B21" s="85"/>
      <c r="C21" s="30">
        <v>87.268396410214976</v>
      </c>
      <c r="D21" s="31">
        <v>87.256428398686779</v>
      </c>
      <c r="E21" s="31">
        <v>87.822106304170404</v>
      </c>
      <c r="F21" s="31">
        <v>87.68072644235157</v>
      </c>
      <c r="G21" s="31">
        <v>87.144879367185226</v>
      </c>
      <c r="H21" s="31">
        <v>74.976567886515753</v>
      </c>
      <c r="I21" s="32">
        <v>46.41754739488244</v>
      </c>
      <c r="J21" s="24"/>
      <c r="K21" s="24"/>
      <c r="L21" s="74" t="str">
        <f t="shared" ref="L21:L27" si="3">"    "&amp;_xlfn.TEXTJOIN(", ",TRUE,C21:I21)&amp;","</f>
        <v xml:space="preserve">    87.268396410215, 87.2564283986868, 87.8221063041704, 87.6807264423516, 87.1448793671852, 74.9765678865158, 46.4175473948824,</v>
      </c>
      <c r="M21" s="83" t="s">
        <v>12</v>
      </c>
      <c r="N21" s="85"/>
      <c r="O21" s="30">
        <v>2.610595868561878</v>
      </c>
      <c r="P21" s="31">
        <v>2.3209805270224559</v>
      </c>
      <c r="Q21" s="31">
        <v>2.4426244152699921</v>
      </c>
      <c r="R21" s="31">
        <v>2.2821255442986761</v>
      </c>
      <c r="S21" s="31">
        <v>2.523131741400912</v>
      </c>
      <c r="T21" s="31">
        <v>3.7626100419371111</v>
      </c>
      <c r="U21" s="32">
        <v>4.1161081119796732</v>
      </c>
      <c r="V21" s="74" t="str">
        <f t="shared" si="2"/>
        <v xml:space="preserve">    2.61059586856188, 2.32098052702246, 2.44262441526999, 2.28212554429868, 2.52313174140091, 3.76261004193711, 4.11610811197967,</v>
      </c>
    </row>
    <row r="22" spans="1:22" ht="15.75" thickBot="1" x14ac:dyDescent="0.25">
      <c r="A22" s="83" t="s">
        <v>21</v>
      </c>
      <c r="B22" s="84"/>
      <c r="C22" s="84"/>
      <c r="D22" s="84"/>
      <c r="E22" s="84"/>
      <c r="F22" s="84"/>
      <c r="G22" s="84"/>
      <c r="H22" s="84"/>
      <c r="I22" s="85"/>
      <c r="J22" s="24"/>
      <c r="K22" s="24"/>
      <c r="L22" s="74"/>
      <c r="M22" s="83" t="s">
        <v>21</v>
      </c>
      <c r="N22" s="84"/>
      <c r="O22" s="84"/>
      <c r="P22" s="84"/>
      <c r="Q22" s="84"/>
      <c r="R22" s="84"/>
      <c r="S22" s="84"/>
      <c r="T22" s="84"/>
      <c r="U22" s="85"/>
      <c r="V22" s="74"/>
    </row>
    <row r="23" spans="1:22" ht="15.75" thickBot="1" x14ac:dyDescent="0.25">
      <c r="A23" s="28" t="s">
        <v>13</v>
      </c>
      <c r="B23" s="20" t="s">
        <v>8</v>
      </c>
      <c r="C23" s="43"/>
      <c r="D23" s="44"/>
      <c r="E23" s="44"/>
      <c r="F23" s="44"/>
      <c r="G23" s="44"/>
      <c r="H23" s="44"/>
      <c r="I23" s="45"/>
      <c r="J23" s="24"/>
      <c r="K23" s="24"/>
      <c r="L23" s="74" t="str">
        <f t="shared" si="3"/>
        <v xml:space="preserve">    ,</v>
      </c>
      <c r="M23" s="28" t="s">
        <v>13</v>
      </c>
      <c r="N23" s="20" t="s">
        <v>8</v>
      </c>
      <c r="O23" s="43"/>
      <c r="P23" s="44"/>
      <c r="Q23" s="44"/>
      <c r="R23" s="44"/>
      <c r="S23" s="44"/>
      <c r="T23" s="44"/>
      <c r="U23" s="45"/>
      <c r="V23" s="74" t="str">
        <f t="shared" si="2"/>
        <v xml:space="preserve">    ,</v>
      </c>
    </row>
    <row r="24" spans="1:22" ht="15.75" thickBot="1" x14ac:dyDescent="0.25">
      <c r="A24" s="28" t="s">
        <v>14</v>
      </c>
      <c r="B24" s="20" t="s">
        <v>8</v>
      </c>
      <c r="C24" s="46"/>
      <c r="D24" s="71"/>
      <c r="E24" s="71"/>
      <c r="F24" s="71"/>
      <c r="G24" s="71"/>
      <c r="H24" s="71"/>
      <c r="I24" s="47"/>
      <c r="J24" s="24"/>
      <c r="K24" s="24"/>
      <c r="L24" s="74" t="str">
        <f t="shared" si="3"/>
        <v xml:space="preserve">    ,</v>
      </c>
      <c r="M24" s="28" t="s">
        <v>14</v>
      </c>
      <c r="N24" s="20" t="s">
        <v>8</v>
      </c>
      <c r="O24" s="46"/>
      <c r="P24" s="71"/>
      <c r="Q24" s="71"/>
      <c r="R24" s="71"/>
      <c r="S24" s="71"/>
      <c r="T24" s="71"/>
      <c r="U24" s="47"/>
      <c r="V24" s="74" t="str">
        <f t="shared" si="2"/>
        <v xml:space="preserve">    ,</v>
      </c>
    </row>
    <row r="25" spans="1:22" ht="15.75" thickBot="1" x14ac:dyDescent="0.25">
      <c r="A25" s="28" t="s">
        <v>15</v>
      </c>
      <c r="B25" s="20" t="s">
        <v>8</v>
      </c>
      <c r="C25" s="46"/>
      <c r="D25" s="71"/>
      <c r="E25" s="71"/>
      <c r="F25" s="71"/>
      <c r="G25" s="71"/>
      <c r="H25" s="71"/>
      <c r="I25" s="47"/>
      <c r="J25" s="24"/>
      <c r="K25" s="24"/>
      <c r="L25" s="74" t="str">
        <f t="shared" si="3"/>
        <v xml:space="preserve">    ,</v>
      </c>
      <c r="M25" s="28" t="s">
        <v>15</v>
      </c>
      <c r="N25" s="20" t="s">
        <v>8</v>
      </c>
      <c r="O25" s="46"/>
      <c r="P25" s="71"/>
      <c r="Q25" s="71"/>
      <c r="R25" s="71"/>
      <c r="S25" s="71"/>
      <c r="T25" s="71"/>
      <c r="U25" s="47"/>
      <c r="V25" s="74" t="str">
        <f t="shared" si="2"/>
        <v xml:space="preserve">    ,</v>
      </c>
    </row>
    <row r="26" spans="1:22" ht="15.75" thickBot="1" x14ac:dyDescent="0.25">
      <c r="A26" s="28" t="s">
        <v>16</v>
      </c>
      <c r="B26" s="20" t="s">
        <v>8</v>
      </c>
      <c r="C26" s="46"/>
      <c r="D26" s="71"/>
      <c r="E26" s="71"/>
      <c r="F26" s="71"/>
      <c r="G26" s="71"/>
      <c r="H26" s="71"/>
      <c r="I26" s="47"/>
      <c r="J26" s="24"/>
      <c r="K26" s="24"/>
      <c r="L26" s="74" t="str">
        <f t="shared" si="3"/>
        <v xml:space="preserve">    ,</v>
      </c>
      <c r="M26" s="28" t="s">
        <v>16</v>
      </c>
      <c r="N26" s="20" t="s">
        <v>8</v>
      </c>
      <c r="O26" s="46"/>
      <c r="P26" s="71"/>
      <c r="Q26" s="71"/>
      <c r="R26" s="71"/>
      <c r="S26" s="71"/>
      <c r="T26" s="71"/>
      <c r="U26" s="47"/>
      <c r="V26" s="74" t="str">
        <f t="shared" si="2"/>
        <v xml:space="preserve">    ,</v>
      </c>
    </row>
    <row r="27" spans="1:22" ht="15.75" thickBot="1" x14ac:dyDescent="0.25">
      <c r="A27" s="29" t="s">
        <v>17</v>
      </c>
      <c r="B27" s="20" t="s">
        <v>8</v>
      </c>
      <c r="C27" s="48"/>
      <c r="D27" s="49"/>
      <c r="E27" s="49"/>
      <c r="F27" s="49"/>
      <c r="G27" s="49"/>
      <c r="H27" s="49"/>
      <c r="I27" s="50"/>
      <c r="J27" s="24"/>
      <c r="K27" s="24"/>
      <c r="L27" s="74" t="str">
        <f t="shared" si="3"/>
        <v xml:space="preserve">    ,</v>
      </c>
      <c r="M27" s="29" t="s">
        <v>17</v>
      </c>
      <c r="N27" s="20" t="s">
        <v>8</v>
      </c>
      <c r="O27" s="48"/>
      <c r="P27" s="49"/>
      <c r="Q27" s="49"/>
      <c r="R27" s="49"/>
      <c r="S27" s="49"/>
      <c r="T27" s="49"/>
      <c r="U27" s="50"/>
      <c r="V27" s="74" t="str">
        <f t="shared" si="2"/>
        <v xml:space="preserve">    ,</v>
      </c>
    </row>
    <row r="28" spans="1:22" ht="15.75" thickBot="1" x14ac:dyDescent="0.25">
      <c r="A28" s="83" t="s">
        <v>22</v>
      </c>
      <c r="B28" s="84"/>
      <c r="C28" s="86"/>
      <c r="D28" s="86"/>
      <c r="E28" s="86"/>
      <c r="F28" s="86"/>
      <c r="G28" s="86"/>
      <c r="H28" s="86"/>
      <c r="I28" s="87"/>
      <c r="J28" s="24"/>
      <c r="K28" s="24"/>
      <c r="L28" s="74"/>
      <c r="M28" s="83" t="s">
        <v>22</v>
      </c>
      <c r="N28" s="84"/>
      <c r="O28" s="86"/>
      <c r="P28" s="86"/>
      <c r="Q28" s="86"/>
      <c r="R28" s="86"/>
      <c r="S28" s="86"/>
      <c r="T28" s="86"/>
      <c r="U28" s="87"/>
      <c r="V28" s="74"/>
    </row>
    <row r="29" spans="1:22" ht="14.25" customHeight="1" thickBot="1" x14ac:dyDescent="0.25">
      <c r="A29" s="83" t="s">
        <v>9</v>
      </c>
      <c r="B29" s="85"/>
      <c r="C29" s="61">
        <v>92.603769819293618</v>
      </c>
      <c r="D29" s="62">
        <v>91.431947068352812</v>
      </c>
      <c r="E29" s="62">
        <v>90.390795042999585</v>
      </c>
      <c r="F29" s="62">
        <v>86.789562828222273</v>
      </c>
      <c r="G29" s="62">
        <v>80.615554033052248</v>
      </c>
      <c r="H29" s="62">
        <v>56.609578553133908</v>
      </c>
      <c r="I29" s="63">
        <v>41.27928062292434</v>
      </c>
      <c r="J29" s="24"/>
      <c r="K29" s="24"/>
      <c r="L29" s="74" t="str">
        <f t="shared" ref="L29:L32" si="4">"    "&amp;_xlfn.TEXTJOIN(", ",TRUE,C29:I29)&amp;","</f>
        <v xml:space="preserve">    92.6037698192936, 91.4319470683528, 90.3907950429996, 86.7895628282223, 80.6155540330522, 56.6095785531339, 41.2792806229243,</v>
      </c>
      <c r="M29" s="83" t="s">
        <v>9</v>
      </c>
      <c r="N29" s="85"/>
      <c r="O29" s="61">
        <v>3.708759274801273</v>
      </c>
      <c r="P29" s="62">
        <v>3.9640390541215931</v>
      </c>
      <c r="Q29" s="62">
        <v>3.7067998106756881</v>
      </c>
      <c r="R29" s="62">
        <v>3.667452632531309</v>
      </c>
      <c r="S29" s="62">
        <v>5.7548227051500218</v>
      </c>
      <c r="T29" s="62">
        <v>8.5366536877555248</v>
      </c>
      <c r="U29" s="63">
        <v>6.3187793027043018</v>
      </c>
      <c r="V29" s="74" t="str">
        <f t="shared" si="2"/>
        <v xml:space="preserve">    3.70875927480127, 3.96403905412159, 3.70679981067569, 3.66745263253131, 5.75482270515002, 8.53665368775552, 6.3187793027043,</v>
      </c>
    </row>
    <row r="30" spans="1:22" ht="15.75" thickBot="1" x14ac:dyDescent="0.25">
      <c r="A30" s="88" t="s">
        <v>10</v>
      </c>
      <c r="B30" s="87"/>
      <c r="C30" s="64">
        <v>91.377634404932721</v>
      </c>
      <c r="D30" s="65">
        <v>90.405373333245066</v>
      </c>
      <c r="E30" s="65">
        <v>89.371480308332721</v>
      </c>
      <c r="F30" s="65">
        <v>87.60989862639515</v>
      </c>
      <c r="G30" s="65">
        <v>85.537230701510694</v>
      </c>
      <c r="H30" s="65">
        <v>70.930708745421484</v>
      </c>
      <c r="I30" s="66">
        <v>44.097326232806537</v>
      </c>
      <c r="J30" s="24"/>
      <c r="K30" s="24"/>
      <c r="L30" s="74" t="str">
        <f t="shared" si="4"/>
        <v xml:space="preserve">    91.3776344049327, 90.4053733332451, 89.3714803083327, 87.6098986263952, 85.5372307015107, 70.9307087454215, 44.0973262328065,</v>
      </c>
      <c r="M30" s="83" t="s">
        <v>10</v>
      </c>
      <c r="N30" s="85"/>
      <c r="O30" s="64">
        <v>3.5684194304484111</v>
      </c>
      <c r="P30" s="65">
        <v>3.0347581440341318</v>
      </c>
      <c r="Q30" s="65">
        <v>2.754130276526872</v>
      </c>
      <c r="R30" s="65">
        <v>2.7768782002466339</v>
      </c>
      <c r="S30" s="65">
        <v>3.3184641894178428</v>
      </c>
      <c r="T30" s="65">
        <v>4.9795199020249923</v>
      </c>
      <c r="U30" s="66">
        <v>2.9223071611371929</v>
      </c>
      <c r="V30" s="74" t="str">
        <f t="shared" si="2"/>
        <v xml:space="preserve">    3.56841943044841, 3.03475814403413, 2.75413027652687, 2.77687820024663, 3.31846418941784, 4.97951990202499, 2.92230716113719,</v>
      </c>
    </row>
    <row r="31" spans="1:22" ht="14.25" customHeight="1" thickBot="1" x14ac:dyDescent="0.25">
      <c r="A31" s="83" t="s">
        <v>18</v>
      </c>
      <c r="B31" s="85"/>
      <c r="C31" s="64">
        <v>92.603715202692385</v>
      </c>
      <c r="D31" s="65">
        <v>91.484997502720319</v>
      </c>
      <c r="E31" s="65">
        <v>90.630171299324857</v>
      </c>
      <c r="F31" s="65">
        <v>85.342034697064548</v>
      </c>
      <c r="G31" s="65">
        <v>78.208607944308184</v>
      </c>
      <c r="H31" s="65">
        <v>58.188767254712552</v>
      </c>
      <c r="I31" s="66">
        <v>45.468919562576168</v>
      </c>
      <c r="J31" s="24"/>
      <c r="K31" s="24"/>
      <c r="L31" s="74" t="str">
        <f t="shared" si="4"/>
        <v xml:space="preserve">    92.6037152026924, 91.4849975027203, 90.6301712993249, 85.3420346970645, 78.2086079443082, 58.1887672547126, 45.4689195625762,</v>
      </c>
      <c r="M31" s="83" t="s">
        <v>18</v>
      </c>
      <c r="N31" s="85"/>
      <c r="O31" s="64">
        <v>4.0727132923350373</v>
      </c>
      <c r="P31" s="65">
        <v>4.4231285957629458</v>
      </c>
      <c r="Q31" s="65">
        <v>4.3011534303531356</v>
      </c>
      <c r="R31" s="65">
        <v>4.8453894583465429</v>
      </c>
      <c r="S31" s="65">
        <v>7.5589700135942426</v>
      </c>
      <c r="T31" s="65">
        <v>10.3740336621021</v>
      </c>
      <c r="U31" s="66">
        <v>10.707618741543239</v>
      </c>
      <c r="V31" s="74" t="str">
        <f t="shared" si="2"/>
        <v xml:space="preserve">    4.07271329233504, 4.42312859576295, 4.30115343035314, 4.84538945834654, 7.55897001359424, 10.3740336621021, 10.7076187415432,</v>
      </c>
    </row>
    <row r="32" spans="1:22" ht="15.75" thickBot="1" x14ac:dyDescent="0.25">
      <c r="A32" s="83" t="s">
        <v>19</v>
      </c>
      <c r="B32" s="85"/>
      <c r="C32" s="67">
        <v>92.692685851985146</v>
      </c>
      <c r="D32" s="68">
        <v>91.028008929063319</v>
      </c>
      <c r="E32" s="68">
        <v>89.101176850288709</v>
      </c>
      <c r="F32" s="68">
        <v>84.121695311135312</v>
      </c>
      <c r="G32" s="68">
        <v>75.514536359946376</v>
      </c>
      <c r="H32" s="68">
        <v>58.551851548300363</v>
      </c>
      <c r="I32" s="69">
        <v>43.528644478603361</v>
      </c>
      <c r="J32" s="24"/>
      <c r="K32" s="24"/>
      <c r="L32" s="74" t="str">
        <f t="shared" si="4"/>
        <v xml:space="preserve">    92.6926858519851, 91.0280089290633, 89.1011768502887, 84.1216953111353, 75.5145363599464, 58.5518515483004, 43.5286444786034,</v>
      </c>
      <c r="M32" s="83" t="s">
        <v>19</v>
      </c>
      <c r="N32" s="85"/>
      <c r="O32" s="67">
        <v>4.3508377678439567</v>
      </c>
      <c r="P32" s="68">
        <v>5.1455197984597092</v>
      </c>
      <c r="Q32" s="68">
        <v>5.0319449257944937</v>
      </c>
      <c r="R32" s="68">
        <v>5.4881092234662896</v>
      </c>
      <c r="S32" s="68">
        <v>8.3963724907401343</v>
      </c>
      <c r="T32" s="68">
        <v>11.26477476806841</v>
      </c>
      <c r="U32" s="69">
        <v>10.478269846537319</v>
      </c>
      <c r="V32" s="74" t="str">
        <f t="shared" si="2"/>
        <v xml:space="preserve">    4.35083776784396, 5.14551979845971, 5.03194492579449, 5.48810922346629, 8.39637249074013, 11.2647747680684, 10.4782698465373,</v>
      </c>
    </row>
    <row r="34" spans="5:21" ht="15" x14ac:dyDescent="0.2">
      <c r="J34" s="2"/>
      <c r="K34" s="2"/>
      <c r="L34" s="75"/>
      <c r="M34" s="2"/>
      <c r="N34" s="2"/>
      <c r="O34" s="2"/>
      <c r="P34" s="2"/>
      <c r="Q34" s="2"/>
      <c r="R34" s="2"/>
      <c r="S34" s="2"/>
      <c r="T34" s="2"/>
      <c r="U34" s="2"/>
    </row>
    <row r="35" spans="5:21" ht="15" x14ac:dyDescent="0.2">
      <c r="J35" s="2"/>
      <c r="K35" s="2"/>
      <c r="L35" s="75"/>
      <c r="M35" s="2"/>
      <c r="N35" s="2"/>
      <c r="O35" s="2"/>
      <c r="P35" s="2"/>
      <c r="Q35" s="2"/>
      <c r="R35" s="2"/>
      <c r="S35" s="2"/>
      <c r="T35" s="2"/>
      <c r="U35" s="2"/>
    </row>
    <row r="36" spans="5:21" ht="15" x14ac:dyDescent="0.2">
      <c r="L36" s="75"/>
      <c r="M36" s="2"/>
      <c r="N36" s="2"/>
      <c r="O36" s="2"/>
      <c r="P36" s="2"/>
      <c r="Q36" s="2"/>
      <c r="R36" s="2"/>
      <c r="S36" s="2"/>
      <c r="T36" s="2"/>
      <c r="U36" s="2"/>
    </row>
    <row r="37" spans="5:21" ht="15" x14ac:dyDescent="0.2">
      <c r="L37" s="75"/>
      <c r="M37" s="2"/>
      <c r="N37" s="2"/>
      <c r="O37" s="2"/>
      <c r="P37" s="2"/>
      <c r="Q37" s="2"/>
      <c r="R37" s="2"/>
      <c r="S37" s="2"/>
      <c r="T37" s="2"/>
      <c r="U37" s="2"/>
    </row>
    <row r="38" spans="5:21" ht="15" x14ac:dyDescent="0.2">
      <c r="L38" s="75"/>
      <c r="M38" s="2"/>
      <c r="N38" s="2"/>
      <c r="O38" s="2"/>
      <c r="P38" s="2"/>
      <c r="Q38" s="2"/>
      <c r="R38" s="2"/>
      <c r="S38" s="2"/>
      <c r="T38" s="2"/>
      <c r="U38" s="2"/>
    </row>
    <row r="39" spans="5:21" ht="15" x14ac:dyDescent="0.2">
      <c r="L39" s="75"/>
      <c r="M39" s="2"/>
      <c r="N39" s="2"/>
      <c r="O39" s="2"/>
      <c r="P39" s="2"/>
      <c r="Q39" s="2"/>
      <c r="R39" s="2"/>
      <c r="S39" s="2"/>
      <c r="T39" s="2"/>
      <c r="U39" s="2"/>
    </row>
    <row r="40" spans="5:21" ht="15" x14ac:dyDescent="0.2">
      <c r="L40" s="75"/>
      <c r="M40" s="2"/>
      <c r="N40" s="2"/>
      <c r="O40" s="2"/>
      <c r="P40" s="2"/>
      <c r="Q40" s="2"/>
      <c r="R40" s="2"/>
      <c r="S40" s="2"/>
      <c r="T40" s="2"/>
      <c r="U40" s="2"/>
    </row>
    <row r="41" spans="5:21" ht="15" x14ac:dyDescent="0.2">
      <c r="M41" s="2"/>
      <c r="N41" s="2"/>
      <c r="O41" s="2"/>
      <c r="P41" s="2"/>
      <c r="Q41" s="2"/>
      <c r="R41" s="2"/>
      <c r="S41" s="2"/>
      <c r="T41" s="2"/>
      <c r="U41" s="2"/>
    </row>
    <row r="42" spans="5:21" ht="15" x14ac:dyDescent="0.2">
      <c r="E42" s="2"/>
      <c r="J42" s="2"/>
      <c r="M42" s="2"/>
      <c r="N42" s="2"/>
      <c r="O42" s="2"/>
      <c r="P42" s="2"/>
      <c r="Q42" s="2"/>
      <c r="R42" s="2"/>
      <c r="S42" s="2"/>
      <c r="T42" s="2"/>
      <c r="U42" s="2"/>
    </row>
    <row r="43" spans="5:21" ht="15" x14ac:dyDescent="0.2">
      <c r="E43" s="2"/>
      <c r="M43" s="2"/>
      <c r="N43" s="2"/>
      <c r="O43" s="2"/>
      <c r="P43" s="2"/>
      <c r="Q43" s="2"/>
      <c r="R43" s="2"/>
      <c r="S43" s="2"/>
      <c r="T43" s="2"/>
      <c r="U43" s="2"/>
    </row>
    <row r="44" spans="5:21" ht="15" x14ac:dyDescent="0.2">
      <c r="L44" s="75"/>
      <c r="M44" s="2"/>
      <c r="N44" s="2"/>
      <c r="O44" s="2"/>
      <c r="P44" s="2"/>
      <c r="Q44" s="2"/>
      <c r="R44" s="2"/>
      <c r="S44" s="2"/>
      <c r="T44" s="2"/>
      <c r="U44" s="2"/>
    </row>
  </sheetData>
  <mergeCells count="38">
    <mergeCell ref="M15:N15"/>
    <mergeCell ref="A3:B3"/>
    <mergeCell ref="M3:N3"/>
    <mergeCell ref="A19:B19"/>
    <mergeCell ref="M19:N19"/>
    <mergeCell ref="A12:B12"/>
    <mergeCell ref="A13:B13"/>
    <mergeCell ref="A4:B4"/>
    <mergeCell ref="M4:N4"/>
    <mergeCell ref="A11:I11"/>
    <mergeCell ref="A5:I5"/>
    <mergeCell ref="M11:U11"/>
    <mergeCell ref="A28:I28"/>
    <mergeCell ref="A31:B31"/>
    <mergeCell ref="A32:B32"/>
    <mergeCell ref="M28:U28"/>
    <mergeCell ref="M31:N31"/>
    <mergeCell ref="M32:N32"/>
    <mergeCell ref="A29:B29"/>
    <mergeCell ref="A30:B30"/>
    <mergeCell ref="M29:N29"/>
    <mergeCell ref="M30:N30"/>
    <mergeCell ref="M22:U22"/>
    <mergeCell ref="M5:U5"/>
    <mergeCell ref="A2:I2"/>
    <mergeCell ref="M2:U2"/>
    <mergeCell ref="A18:I18"/>
    <mergeCell ref="M18:U18"/>
    <mergeCell ref="A22:I22"/>
    <mergeCell ref="M12:N12"/>
    <mergeCell ref="M13:N13"/>
    <mergeCell ref="A20:B20"/>
    <mergeCell ref="M20:N20"/>
    <mergeCell ref="A21:B21"/>
    <mergeCell ref="M21:N21"/>
    <mergeCell ref="A14:B14"/>
    <mergeCell ref="A15:B15"/>
    <mergeCell ref="M14:N14"/>
  </mergeCells>
  <phoneticPr fontId="1" type="noConversion"/>
  <conditionalFormatting sqref="C3:I4 C6:I10 C12:I15">
    <cfRule type="colorScale" priority="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3:I4">
    <cfRule type="colorScale" priority="13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6:I10 C3:I4">
    <cfRule type="colorScale" priority="9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2:I14">
    <cfRule type="colorScale" priority="1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2:I15">
    <cfRule type="colorScale" priority="1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3:K4 J5:K15">
    <cfRule type="colorScale" priority="19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:J15">
    <cfRule type="colorScale" priority="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3:J28">
    <cfRule type="colorScale" priority="10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:K15">
    <cfRule type="colorScale" priority="18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:K5 C4:K4">
    <cfRule type="colorScale" priority="18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8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8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90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9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9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3:K28">
    <cfRule type="colorScale" priority="20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0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3:K15">
    <cfRule type="colorScale" priority="20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3:K28">
    <cfRule type="colorScale" priority="20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nm_basis_F, nm_modifier_F</vt:lpstr>
      <vt:lpstr>nm_basis_T, nm_modifier_F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Yuzeng Xu</cp:lastModifiedBy>
  <dcterms:created xsi:type="dcterms:W3CDTF">2015-06-05T18:17:20Z</dcterms:created>
  <dcterms:modified xsi:type="dcterms:W3CDTF">2026-04-29T08:02:00Z</dcterms:modified>
</cp:coreProperties>
</file>