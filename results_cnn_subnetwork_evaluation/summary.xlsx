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cnn_subnetwork_evaluation_\"/>
    </mc:Choice>
  </mc:AlternateContent>
  <xr:revisionPtr revIDLastSave="0" documentId="13_ncr:1_{4A357747-75C8-45D8-95B4-7700946ACF40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partialdata_20260407" sheetId="6" r:id="rId1"/>
    <sheet name="fullldata_20260407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5" i="6" l="1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<sst xmlns="http://schemas.openxmlformats.org/spreadsheetml/2006/main" count="204" uniqueCount="26">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</sst>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5" t="s">
        <v>5</v>
      </c>
      <c r="B2" s="66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5" t="s">
        <v>5</v>
      </c>
      <c r="N2" s="66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5" t="s">
        <v>6</v>
      </c>
      <c r="B3" s="66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65" t="s">
        <v>6</v>
      </c>
      <c r="N3" s="66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5" t="s">
        <v>10</v>
      </c>
      <c r="B4" s="66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5" t="s">
        <v>10</v>
      </c>
      <c r="N4" s="66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5" t="s">
        <v>14</v>
      </c>
      <c r="B5" s="67"/>
      <c r="C5" s="67"/>
      <c r="D5" s="67"/>
      <c r="E5" s="67"/>
      <c r="F5" s="67"/>
      <c r="G5" s="67"/>
      <c r="H5" s="67"/>
      <c r="I5" s="66"/>
      <c r="J5" s="41"/>
      <c r="K5" s="41"/>
      <c r="L5" s="12"/>
      <c r="M5" s="65" t="s">
        <v>14</v>
      </c>
      <c r="N5" s="67"/>
      <c r="O5" s="67"/>
      <c r="P5" s="67"/>
      <c r="Q5" s="67"/>
      <c r="R5" s="67"/>
      <c r="S5" s="67"/>
      <c r="T5" s="67"/>
      <c r="U5" s="66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ref="L6:L7" si="2">"    "&amp;_xlfn.TEXTJOIN(", ",TRUE,C6:I6)&amp;","</f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ref="V6:V7" si="3">"    "&amp;_xlfn.TEXTJOIN(", ",TRUE,O6:U6)&amp;","</f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2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3"/>
        <v xml:space="preserve">    3.27881054044227, 3.27504692524, 3.08723191658787, 3.11651024153484, 3.63301241656389, 5.83923787859262, 5.83339587897884,</v>
      </c>
    </row>
    <row r="8" spans="1:22" ht="15.75" thickBot="1" x14ac:dyDescent="0.25">
      <c r="A8" s="65" t="s">
        <v>22</v>
      </c>
      <c r="B8" s="67"/>
      <c r="C8" s="67"/>
      <c r="D8" s="67"/>
      <c r="E8" s="67"/>
      <c r="F8" s="67"/>
      <c r="G8" s="67"/>
      <c r="H8" s="67"/>
      <c r="I8" s="66"/>
      <c r="J8" s="41"/>
      <c r="K8" s="41"/>
      <c r="L8" s="12"/>
      <c r="M8" s="65" t="s">
        <v>22</v>
      </c>
      <c r="N8" s="67"/>
      <c r="O8" s="67"/>
      <c r="P8" s="67"/>
      <c r="Q8" s="67"/>
      <c r="R8" s="67"/>
      <c r="S8" s="67"/>
      <c r="T8" s="67"/>
      <c r="U8" s="66"/>
      <c r="V8" s="12"/>
    </row>
    <row r="9" spans="1:22" ht="15.75" customHeight="1" thickBot="1" x14ac:dyDescent="0.25">
      <c r="A9" s="65" t="s">
        <v>7</v>
      </c>
      <c r="B9" s="66"/>
      <c r="C9" s="55">
        <v>93.32548436116808</v>
      </c>
      <c r="D9" s="32">
        <v>92.739539269370866</v>
      </c>
      <c r="E9" s="32">
        <v>91.500872268214565</v>
      </c>
      <c r="F9" s="32">
        <v>85.143369175627228</v>
      </c>
      <c r="G9" s="32">
        <v>75.147299428772442</v>
      </c>
      <c r="H9" s="32">
        <v>59.129842530356363</v>
      </c>
      <c r="I9" s="33">
        <v>48.364190001643621</v>
      </c>
      <c r="J9" s="41" cm="1">
        <f t="array" ref="J9">-SUMPRODUCT((D1:H1-C1:G1)*(C9:G9+D9:H9)/2)</f>
        <v>78.680994068576155</v>
      </c>
      <c r="K9" s="41" cm="1">
        <f t="array" ref="K9">-SUMPRODUCT((D1:I1-C1:H1)*(C9:H9+D9:I9)/2)</f>
        <v>81.368344881876155</v>
      </c>
      <c r="L9" s="12" t="str">
        <f t="shared" ref="L9:L12" si="4">"    "&amp;_xlfn.TEXTJOIN(", ",TRUE,C9:I9)&amp;","</f>
        <v xml:space="preserve">    93.3254843611681, 92.7395392693709, 91.5008722682146, 85.1433691756272, 75.1472994287724, 59.1298425303564, 48.3641900016436,</v>
      </c>
      <c r="M9" s="65" t="s">
        <v>7</v>
      </c>
      <c r="N9" s="66"/>
      <c r="O9" s="55">
        <v>3.667959563183556</v>
      </c>
      <c r="P9" s="32">
        <v>3.989772059278164</v>
      </c>
      <c r="Q9" s="32">
        <v>4.3227288020875694</v>
      </c>
      <c r="R9" s="32">
        <v>4.691214264977404</v>
      </c>
      <c r="S9" s="32">
        <v>9.351372365820513</v>
      </c>
      <c r="T9" s="32">
        <v>11.12402361905577</v>
      </c>
      <c r="U9" s="33">
        <v>9.7177921031411447</v>
      </c>
      <c r="V9" s="12" t="str">
        <f t="shared" ref="V9:V12" si="5">"    "&amp;_xlfn.TEXTJOIN(", ",TRUE,O9:U9)&amp;","</f>
        <v xml:space="preserve">    3.66795956318356, 3.98977205927816, 4.32272880208757, 4.6912142649774, 9.35137236582051, 11.1240236190558, 9.71779210314114,</v>
      </c>
    </row>
    <row r="10" spans="1:22" ht="15.75" customHeight="1" thickBot="1" x14ac:dyDescent="0.25">
      <c r="A10" s="70" t="s">
        <v>8</v>
      </c>
      <c r="B10" s="69"/>
      <c r="C10" s="55">
        <v>93.029579263949799</v>
      </c>
      <c r="D10" s="32">
        <v>91.699489903315182</v>
      </c>
      <c r="E10" s="32">
        <v>90.230102913231647</v>
      </c>
      <c r="F10" s="32">
        <v>85.684437869993104</v>
      </c>
      <c r="G10" s="32">
        <v>76.604408342632709</v>
      </c>
      <c r="H10" s="32">
        <v>60.525240991127369</v>
      </c>
      <c r="I10" s="33">
        <v>50.546463781405251</v>
      </c>
      <c r="J10" s="41" cm="1">
        <f t="array" ref="J10">-SUMPRODUCT((D1:H1-C1:G1)*(C10:G10+D10:H10)/2)</f>
        <v>78.394711603618248</v>
      </c>
      <c r="K10" s="41" cm="1">
        <f t="array" ref="K10">-SUMPRODUCT((D1:I1-C1:H1)*(C10:H10+D10:I10)/2)</f>
        <v>81.17150422293156</v>
      </c>
      <c r="L10" s="12" t="str">
        <f t="shared" si="4"/>
        <v xml:space="preserve">    93.0295792639498, 91.6994899033152, 90.2301029132316, 85.6844378699931, 76.6044083426327, 60.5252409911274, 50.5464637814053,</v>
      </c>
      <c r="M10" s="65" t="s">
        <v>8</v>
      </c>
      <c r="N10" s="66"/>
      <c r="O10" s="55">
        <v>3.744976414623296</v>
      </c>
      <c r="P10" s="32">
        <v>4.343666270045687</v>
      </c>
      <c r="Q10" s="32">
        <v>4.7437159565801874</v>
      </c>
      <c r="R10" s="32">
        <v>5.5306123777224894</v>
      </c>
      <c r="S10" s="32">
        <v>8.3512102986812558</v>
      </c>
      <c r="T10" s="32">
        <v>10.38527872584435</v>
      </c>
      <c r="U10" s="33">
        <v>9.5213328677383782</v>
      </c>
      <c r="V10" s="12" t="str">
        <f t="shared" si="5"/>
        <v xml:space="preserve">    3.7449764146233, 4.34366627004569, 4.74371595658019, 5.53061237772249, 8.35121029868126, 10.3852787258443, 9.52133286773838,</v>
      </c>
    </row>
    <row r="11" spans="1:22" ht="15.75" customHeight="1" thickBot="1" x14ac:dyDescent="0.25">
      <c r="A11" s="65" t="s">
        <v>23</v>
      </c>
      <c r="B11" s="66"/>
      <c r="C11" s="55">
        <v>92.961657684466715</v>
      </c>
      <c r="D11" s="32">
        <v>91.581357393518388</v>
      </c>
      <c r="E11" s="32">
        <v>90.473438351542839</v>
      </c>
      <c r="F11" s="32">
        <v>86.603606720934735</v>
      </c>
      <c r="G11" s="32">
        <v>77.903932271617123</v>
      </c>
      <c r="H11" s="32">
        <v>59.567908603592286</v>
      </c>
      <c r="I11" s="33">
        <v>48.445153793141223</v>
      </c>
      <c r="J11" s="41" cm="1">
        <f t="array" ref="J11">-SUMPRODUCT((D1:H1-C1:G1)*(C11:G11+D11:H11)/2)</f>
        <v>78.631399853516598</v>
      </c>
      <c r="K11" s="41" cm="1">
        <f t="array" ref="K11">-SUMPRODUCT((D1:I1-C1:H1)*(C11:H11+D11:I11)/2)</f>
        <v>81.331726413434936</v>
      </c>
      <c r="L11" s="12" t="str">
        <f t="shared" si="4"/>
        <v xml:space="preserve">    92.9616576844667, 91.5813573935184, 90.4734383515428, 86.6036067209347, 77.9039322716171, 59.5679086035923, 48.4451537931412,</v>
      </c>
      <c r="M11" s="65" t="s">
        <v>23</v>
      </c>
      <c r="N11" s="66"/>
      <c r="O11" s="43">
        <v>3.561541743303076</v>
      </c>
      <c r="P11" s="44">
        <v>4.0732299909545224</v>
      </c>
      <c r="Q11" s="44">
        <v>4.7078541322877587</v>
      </c>
      <c r="R11" s="44">
        <v>5.7340237026421512</v>
      </c>
      <c r="S11" s="44">
        <v>7.7315701222211866</v>
      </c>
      <c r="T11" s="44">
        <v>8.7921119837631458</v>
      </c>
      <c r="U11" s="45">
        <v>6.9480359155607783</v>
      </c>
      <c r="V11" s="12" t="str">
        <f t="shared" si="5"/>
        <v xml:space="preserve">    3.56154174330308, 4.07322999095452, 4.70785413228776, 5.73402370264215, 7.73157012222119, 8.79211198376315, 6.94803591556078,</v>
      </c>
    </row>
    <row r="12" spans="1:22" ht="15.75" customHeight="1" thickBot="1" x14ac:dyDescent="0.25">
      <c r="A12" s="65" t="s">
        <v>24</v>
      </c>
      <c r="B12" s="66"/>
      <c r="C12" s="55">
        <v>93.033472031188253</v>
      </c>
      <c r="D12" s="32">
        <v>91.100681378443298</v>
      </c>
      <c r="E12" s="32">
        <v>89.756246449652096</v>
      </c>
      <c r="F12" s="32">
        <v>83.92601147068747</v>
      </c>
      <c r="G12" s="32">
        <v>76.162322626781645</v>
      </c>
      <c r="H12" s="32">
        <v>59.765018151829473</v>
      </c>
      <c r="I12" s="33">
        <v>48.291320282470707</v>
      </c>
      <c r="J12" s="41" cm="1">
        <f t="array" ref="J12">-SUMPRODUCT((D1:H1-C1:G1)*(C12:G12+D12:H12)/2)</f>
        <v>77.792894690553823</v>
      </c>
      <c r="K12" s="41" cm="1">
        <f t="array" ref="K12">-SUMPRODUCT((D1:I1-C1:H1)*(C12:H12+D12:I12)/2)</f>
        <v>80.49430315141133</v>
      </c>
      <c r="L12" s="12" t="str">
        <f t="shared" si="4"/>
        <v xml:space="preserve">    93.0334720311883, 91.1006813784433, 89.7562464496521, 83.9260114706875, 76.1623226267816, 59.7650181518295, 48.2913202824707,</v>
      </c>
      <c r="M12" s="65" t="s">
        <v>24</v>
      </c>
      <c r="N12" s="66"/>
      <c r="O12" s="55">
        <v>3.8568466007702029</v>
      </c>
      <c r="P12" s="32">
        <v>4.6595572983107783</v>
      </c>
      <c r="Q12" s="32">
        <v>4.7370792660764716</v>
      </c>
      <c r="R12" s="32">
        <v>5.5210922070370687</v>
      </c>
      <c r="S12" s="32">
        <v>8.0424472924959218</v>
      </c>
      <c r="T12" s="32">
        <v>10.57495823817662</v>
      </c>
      <c r="U12" s="33">
        <v>9.4501253063826809</v>
      </c>
      <c r="V12" s="12" t="str">
        <f t="shared" si="5"/>
        <v xml:space="preserve">    3.8568466007702, 4.65955729831078, 4.73707926607647, 5.52109220703707, 8.04244729249592, 10.5749582381766, 9.45012530638268,</v>
      </c>
    </row>
    <row r="13" spans="1:22" ht="15.75" customHeight="1" thickBot="1" x14ac:dyDescent="0.25">
      <c r="A13" s="65" t="s">
        <v>25</v>
      </c>
      <c r="B13" s="67"/>
      <c r="C13" s="68"/>
      <c r="D13" s="68"/>
      <c r="E13" s="68"/>
      <c r="F13" s="68"/>
      <c r="G13" s="68"/>
      <c r="H13" s="68"/>
      <c r="I13" s="69"/>
      <c r="J13" s="41"/>
      <c r="K13" s="41"/>
      <c r="L13" s="12"/>
      <c r="M13" s="65" t="s">
        <v>25</v>
      </c>
      <c r="N13" s="67"/>
      <c r="O13" s="68"/>
      <c r="P13" s="68"/>
      <c r="Q13" s="68"/>
      <c r="R13" s="68"/>
      <c r="S13" s="68"/>
      <c r="T13" s="68"/>
      <c r="U13" s="69"/>
      <c r="V13" s="12"/>
    </row>
    <row r="14" spans="1:22" ht="15.75" customHeight="1" thickBot="1" x14ac:dyDescent="0.25">
      <c r="A14" s="65" t="s">
        <v>7</v>
      </c>
      <c r="B14" s="66"/>
      <c r="C14" s="55">
        <v>91.808259587020672</v>
      </c>
      <c r="D14" s="32">
        <v>90.918387413962634</v>
      </c>
      <c r="E14" s="32">
        <v>89.996141835136996</v>
      </c>
      <c r="F14" s="32">
        <v>87.690311623226279</v>
      </c>
      <c r="G14" s="32">
        <v>84.300178490586703</v>
      </c>
      <c r="H14" s="32">
        <v>60.212671966597178</v>
      </c>
      <c r="I14" s="33">
        <v>42.728460742163293</v>
      </c>
      <c r="J14" s="41" cm="1">
        <f t="array" ref="J14">-SUMPRODUCT((D1:H1-C1:G1)*(C14:G14+D14:H14)/2)</f>
        <v>79.048959405646542</v>
      </c>
      <c r="K14" s="41" cm="1">
        <f t="array" ref="K14">-SUMPRODUCT((D1:I1-C1:H1)*(C14:H14+D14:I14)/2)</f>
        <v>81.622487723365552</v>
      </c>
      <c r="L14" s="12" t="str">
        <f t="shared" ref="L14:L17" si="6">"    "&amp;_xlfn.TEXTJOIN(", ",TRUE,C14:I14)&amp;","</f>
        <v xml:space="preserve">    91.8082595870207, 90.9183874139626, 89.996141835137, 87.6903116232263, 84.3001784905867, 60.2126719665972, 42.7284607421633,</v>
      </c>
      <c r="M14" s="65" t="s">
        <v>7</v>
      </c>
      <c r="N14" s="66"/>
      <c r="O14" s="55">
        <v>3.5081436422345762</v>
      </c>
      <c r="P14" s="32">
        <v>3.2318299507081201</v>
      </c>
      <c r="Q14" s="32">
        <v>2.9043906528931069</v>
      </c>
      <c r="R14" s="32">
        <v>3.2703414364377852</v>
      </c>
      <c r="S14" s="32">
        <v>3.862191195058998</v>
      </c>
      <c r="T14" s="32">
        <v>7.0362299825413483</v>
      </c>
      <c r="U14" s="33">
        <v>3.4420784039601222</v>
      </c>
      <c r="V14" s="12" t="str">
        <f t="shared" ref="V14:V17" si="7">"    "&amp;_xlfn.TEXTJOIN(", ",TRUE,O14:U14)&amp;","</f>
        <v xml:space="preserve">    3.50814364223458, 3.23182995070812, 2.90439065289311, 3.27034143643779, 3.862191195059, 7.03622998254135, 3.44207840396012,</v>
      </c>
    </row>
    <row r="15" spans="1:22" ht="15.75" customHeight="1" thickBot="1" x14ac:dyDescent="0.25">
      <c r="A15" s="70" t="s">
        <v>8</v>
      </c>
      <c r="B15" s="69"/>
      <c r="C15" s="55">
        <v>91.806402592871336</v>
      </c>
      <c r="D15" s="32">
        <v>91.000000000000014</v>
      </c>
      <c r="E15" s="32">
        <v>89.899705014749259</v>
      </c>
      <c r="F15" s="32">
        <v>87.81909301406877</v>
      </c>
      <c r="G15" s="32">
        <v>85.468643039011297</v>
      </c>
      <c r="H15" s="32">
        <v>70.467985593877685</v>
      </c>
      <c r="I15" s="33">
        <v>45.777178003269917</v>
      </c>
      <c r="J15" s="41" cm="1">
        <f t="array" ref="J15">-SUMPRODUCT((D1:H1-C1:G1)*(C15:G15+D15:H15)/2)</f>
        <v>79.696361488132837</v>
      </c>
      <c r="K15" s="41" cm="1">
        <f t="array" ref="K15">-SUMPRODUCT((D1:I1-C1:H1)*(C15:H15+D15:I15)/2)</f>
        <v>82.60249057806152</v>
      </c>
      <c r="L15" s="12" t="str">
        <f t="shared" si="6"/>
        <v xml:space="preserve">    91.8064025928713, 91, 89.8997050147493, 87.8190930140688, 85.4686430390113, 70.4679855938777, 45.7771780032699,</v>
      </c>
      <c r="M15" s="65" t="s">
        <v>8</v>
      </c>
      <c r="N15" s="66"/>
      <c r="O15" s="55">
        <v>3.30162613426437</v>
      </c>
      <c r="P15" s="32">
        <v>2.7895411419086922</v>
      </c>
      <c r="Q15" s="32">
        <v>2.4165108199523742</v>
      </c>
      <c r="R15" s="32">
        <v>2.7123736733211721</v>
      </c>
      <c r="S15" s="32">
        <v>3.8014726287512541</v>
      </c>
      <c r="T15" s="32">
        <v>5.2299009938051402</v>
      </c>
      <c r="U15" s="33">
        <v>2.1746822737589162</v>
      </c>
      <c r="V15" s="12" t="str">
        <f t="shared" si="7"/>
        <v xml:space="preserve">    3.30162613426437, 2.78954114190869, 2.41651081995237, 2.71237367332117, 3.80147262875125, 5.22990099380514, 2.17468227375892,</v>
      </c>
    </row>
    <row r="16" spans="1:22" ht="15.75" customHeight="1" thickBot="1" x14ac:dyDescent="0.25">
      <c r="A16" s="65" t="s">
        <v>23</v>
      </c>
      <c r="B16" s="66"/>
      <c r="C16" s="55">
        <v>93.12979927738705</v>
      </c>
      <c r="D16" s="32">
        <v>92.072884136829316</v>
      </c>
      <c r="E16" s="32">
        <v>90.991179277790764</v>
      </c>
      <c r="F16" s="32">
        <v>86.488871010994899</v>
      </c>
      <c r="G16" s="32">
        <v>78.849479666779118</v>
      </c>
      <c r="H16" s="32">
        <v>59.403051352808703</v>
      </c>
      <c r="I16" s="33">
        <v>48.981470427944863</v>
      </c>
      <c r="J16" s="41" cm="1">
        <f t="array" ref="J16">-SUMPRODUCT((D1:H1-C1:G1)*(C16:G16+D16:H16)/2)</f>
        <v>78.960892467351215</v>
      </c>
      <c r="K16" s="41" cm="1">
        <f t="array" ref="K16">-SUMPRODUCT((D1:I1-C1:H1)*(C16:H16+D16:I16)/2)</f>
        <v>81.670505511870061</v>
      </c>
      <c r="L16" s="12" t="str">
        <f t="shared" si="6"/>
        <v xml:space="preserve">    93.1297992773871, 92.0728841368293, 90.9911792777908, 86.4888710109949, 78.8494796667791, 59.4030513528087, 48.9814704279449,</v>
      </c>
      <c r="M16" s="65" t="s">
        <v>23</v>
      </c>
      <c r="N16" s="66"/>
      <c r="O16" s="55">
        <v>3.720535922449947</v>
      </c>
      <c r="P16" s="32">
        <v>4.0622972018703303</v>
      </c>
      <c r="Q16" s="32">
        <v>3.8973921609932098</v>
      </c>
      <c r="R16" s="32">
        <v>4.4056182294833066</v>
      </c>
      <c r="S16" s="32">
        <v>6.8043189964443149</v>
      </c>
      <c r="T16" s="32">
        <v>10.63228683456753</v>
      </c>
      <c r="U16" s="33">
        <v>8.6293638993197188</v>
      </c>
      <c r="V16" s="12" t="str">
        <f t="shared" si="7"/>
        <v xml:space="preserve">    3.72053592244995, 4.06229720187033, 3.89739216099321, 4.40561822948331, 6.80431899644431, 10.6322868345675, 8.62936389931972,</v>
      </c>
    </row>
    <row r="17" spans="1:22" ht="15.75" customHeight="1" thickBot="1" x14ac:dyDescent="0.25">
      <c r="A17" s="65" t="s">
        <v>24</v>
      </c>
      <c r="B17" s="66"/>
      <c r="C17" s="55">
        <v>93.29405963719411</v>
      </c>
      <c r="D17" s="32">
        <v>91.739729582435828</v>
      </c>
      <c r="E17" s="32">
        <v>90.005885287358296</v>
      </c>
      <c r="F17" s="32">
        <v>84.180898335337389</v>
      </c>
      <c r="G17" s="32">
        <v>76.342811500676177</v>
      </c>
      <c r="H17" s="32">
        <v>59.562899909745468</v>
      </c>
      <c r="I17" s="33">
        <v>48.344573338293003</v>
      </c>
      <c r="J17" s="41" cm="1">
        <f t="array" ref="J17">-SUMPRODUCT((D1:H1-C1:G1)*(C17:G17+D17:H17)/2)</f>
        <v>78.087574935769339</v>
      </c>
      <c r="K17" s="41" cm="1">
        <f t="array" ref="K17">-SUMPRODUCT((D1:I1-C1:H1)*(C17:H17+D17:I17)/2)</f>
        <v>80.785261766970308</v>
      </c>
      <c r="L17" s="12" t="str">
        <f t="shared" si="6"/>
        <v xml:space="preserve">    93.2940596371941, 91.7397295824358, 90.0058852873583, 84.1808983353374, 76.3428115006762, 59.5628999097455, 48.344573338293,</v>
      </c>
      <c r="M17" s="65" t="s">
        <v>24</v>
      </c>
      <c r="N17" s="66"/>
      <c r="O17" s="55">
        <v>3.5976530252225301</v>
      </c>
      <c r="P17" s="32">
        <v>4.5356023728221411</v>
      </c>
      <c r="Q17" s="32">
        <v>4.6296560466546204</v>
      </c>
      <c r="R17" s="32">
        <v>5.2864726273441152</v>
      </c>
      <c r="S17" s="32">
        <v>8.2846675717539657</v>
      </c>
      <c r="T17" s="32">
        <v>10.25067270866937</v>
      </c>
      <c r="U17" s="33">
        <v>9.5941688433330885</v>
      </c>
      <c r="V17" s="12" t="str">
        <f t="shared" si="7"/>
        <v xml:space="preserve">    3.59765302522253, 4.53560237282214, 4.62965604665462, 5.28647262734412, 8.28466757175397, 10.2506727086694, 9.59416884333309,</v>
      </c>
    </row>
    <row r="18" spans="1:22" ht="15" thickBot="1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59" t="s">
        <v>5</v>
      </c>
      <c r="B20" s="60"/>
      <c r="C20" s="47">
        <v>92.567111769713335</v>
      </c>
      <c r="D20" s="47">
        <v>90.835858608343599</v>
      </c>
      <c r="E20" s="47">
        <v>89.217505339533233</v>
      </c>
      <c r="F20" s="47">
        <v>83.237245964288078</v>
      </c>
      <c r="G20" s="47">
        <v>75.380430844191011</v>
      </c>
      <c r="H20" s="47">
        <v>58.994367187597383</v>
      </c>
      <c r="I20" s="48">
        <v>43.622535641382179</v>
      </c>
      <c r="J20" s="50"/>
      <c r="K20" s="50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59" t="s">
        <v>5</v>
      </c>
      <c r="N20" s="60"/>
      <c r="O20" s="46">
        <v>3.88093621561358</v>
      </c>
      <c r="P20" s="47">
        <v>4.8164746829677396</v>
      </c>
      <c r="Q20" s="47">
        <v>5.2250608386616522</v>
      </c>
      <c r="R20" s="47">
        <v>5.6675721086724113</v>
      </c>
      <c r="S20" s="47">
        <v>8.3263283482936075</v>
      </c>
      <c r="T20" s="47">
        <v>10.49020927094638</v>
      </c>
      <c r="U20" s="48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59" t="s">
        <v>6</v>
      </c>
      <c r="B21" s="60"/>
      <c r="C21" s="47">
        <v>92.866950218042462</v>
      </c>
      <c r="D21" s="47">
        <v>91.242690764745561</v>
      </c>
      <c r="E21" s="47">
        <v>90.137053227698445</v>
      </c>
      <c r="F21" s="47">
        <v>86.080152926613408</v>
      </c>
      <c r="G21" s="47">
        <v>77.410217255196784</v>
      </c>
      <c r="H21" s="47">
        <v>59.676194764980139</v>
      </c>
      <c r="I21" s="48">
        <v>46.395490419404197</v>
      </c>
      <c r="J21" s="50"/>
      <c r="K21" s="50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59" t="s">
        <v>6</v>
      </c>
      <c r="N21" s="60"/>
      <c r="O21" s="47">
        <v>3.8319643020864191</v>
      </c>
      <c r="P21" s="47">
        <v>4.3603246705255447</v>
      </c>
      <c r="Q21" s="47">
        <v>4.7987735191879262</v>
      </c>
      <c r="R21" s="47">
        <v>5.1262965367330251</v>
      </c>
      <c r="S21" s="47">
        <v>7.087258799823358</v>
      </c>
      <c r="T21" s="47">
        <v>9.7457736576346736</v>
      </c>
      <c r="U21" s="48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59" t="s">
        <v>10</v>
      </c>
      <c r="B22" s="60"/>
      <c r="C22" s="34">
        <v>87.268396410214976</v>
      </c>
      <c r="D22" s="35">
        <v>87.256428398686779</v>
      </c>
      <c r="E22" s="35">
        <v>87.822106304170404</v>
      </c>
      <c r="F22" s="35">
        <v>87.68072644235157</v>
      </c>
      <c r="G22" s="35">
        <v>87.144879367185226</v>
      </c>
      <c r="H22" s="35">
        <v>74.976567886515753</v>
      </c>
      <c r="I22" s="36">
        <v>46.41754739488244</v>
      </c>
      <c r="J22" s="50"/>
      <c r="K22" s="50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59" t="s">
        <v>10</v>
      </c>
      <c r="N22" s="60"/>
      <c r="O22" s="34">
        <v>2.610595868561878</v>
      </c>
      <c r="P22" s="35">
        <v>2.3209805270224559</v>
      </c>
      <c r="Q22" s="35">
        <v>2.4426244152699921</v>
      </c>
      <c r="R22" s="35">
        <v>2.2821255442986761</v>
      </c>
      <c r="S22" s="35">
        <v>2.523131741400912</v>
      </c>
      <c r="T22" s="35">
        <v>3.7626100419371111</v>
      </c>
      <c r="U22" s="36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59" t="s">
        <v>14</v>
      </c>
      <c r="B23" s="63"/>
      <c r="C23" s="63"/>
      <c r="D23" s="63"/>
      <c r="E23" s="63"/>
      <c r="F23" s="63"/>
      <c r="G23" s="63"/>
      <c r="H23" s="63"/>
      <c r="I23" s="60"/>
      <c r="J23" s="50"/>
      <c r="K23" s="50"/>
      <c r="L23" s="1"/>
      <c r="M23" s="59" t="s">
        <v>14</v>
      </c>
      <c r="N23" s="63"/>
      <c r="O23" s="63"/>
      <c r="P23" s="63"/>
      <c r="Q23" s="63"/>
      <c r="R23" s="63"/>
      <c r="S23" s="63"/>
      <c r="T23" s="63"/>
      <c r="U23" s="60"/>
      <c r="V23" s="1"/>
    </row>
    <row r="24" spans="1:22" ht="15.75" thickBot="1" x14ac:dyDescent="0.25">
      <c r="A24" s="14" t="s">
        <v>12</v>
      </c>
      <c r="B24" s="9" t="s">
        <v>15</v>
      </c>
      <c r="C24" s="28">
        <v>92.718331539365238</v>
      </c>
      <c r="D24" s="29">
        <v>92.140084144598461</v>
      </c>
      <c r="E24" s="29">
        <v>91.379904797106931</v>
      </c>
      <c r="F24" s="29">
        <v>88.378075938007726</v>
      </c>
      <c r="G24" s="29">
        <v>84.574966803458963</v>
      </c>
      <c r="H24" s="29">
        <v>64.524084468318208</v>
      </c>
      <c r="I24" s="30">
        <v>53.783251685995403</v>
      </c>
      <c r="J24" s="50"/>
      <c r="K24" s="50"/>
      <c r="L24" s="1" t="str">
        <f t="shared" si="9"/>
        <v xml:space="preserve">    92.7183315393652, 92.1400841445985, 91.3799047971069, 88.3780759380077, 84.574966803459, 64.5240844683182, 53.7832516859954,</v>
      </c>
      <c r="M24" s="14" t="s">
        <v>12</v>
      </c>
      <c r="N24" s="9" t="s">
        <v>15</v>
      </c>
      <c r="O24" s="28">
        <v>3.7093306081953399</v>
      </c>
      <c r="P24" s="29">
        <v>3.557353374868756</v>
      </c>
      <c r="Q24" s="29">
        <v>3.8505126265401719</v>
      </c>
      <c r="R24" s="29">
        <v>4.6860631563763482</v>
      </c>
      <c r="S24" s="29">
        <v>5.2335990268297223</v>
      </c>
      <c r="T24" s="29">
        <v>8.5303914956588702</v>
      </c>
      <c r="U24" s="30">
        <v>9.1099237449071975</v>
      </c>
      <c r="V24" s="1" t="str">
        <f t="shared" si="8"/>
        <v xml:space="preserve">    3.70933060819534, 3.55735337486876, 3.85051262654017, 4.68606315637635, 5.23359902682972, 8.53039149565887, 9.1099237449072,</v>
      </c>
    </row>
    <row r="25" spans="1:22" ht="15.75" thickBot="1" x14ac:dyDescent="0.25">
      <c r="A25" s="14" t="s">
        <v>13</v>
      </c>
      <c r="B25" s="9" t="s">
        <v>16</v>
      </c>
      <c r="C25" s="49">
        <v>92.111918497964766</v>
      </c>
      <c r="D25" s="50">
        <v>92.236437130021557</v>
      </c>
      <c r="E25" s="50">
        <v>91.847628837606763</v>
      </c>
      <c r="F25" s="50">
        <v>91.031961472589515</v>
      </c>
      <c r="G25" s="50">
        <v>87.968996103656281</v>
      </c>
      <c r="H25" s="50">
        <v>70.680435455032196</v>
      </c>
      <c r="I25" s="51">
        <v>51.144510191286152</v>
      </c>
      <c r="J25" s="50"/>
      <c r="K25" s="50"/>
      <c r="L25" s="1" t="str">
        <f t="shared" si="9"/>
        <v xml:space="preserve">    92.1119184979648, 92.2364371300216, 91.8476288376068, 91.0319614725895, 87.9689961036563, 70.6804354550322, 51.1445101912862,</v>
      </c>
      <c r="M25" s="14" t="s">
        <v>13</v>
      </c>
      <c r="N25" s="9" t="s">
        <v>16</v>
      </c>
      <c r="O25" s="49">
        <v>3.5860589390986259</v>
      </c>
      <c r="P25" s="50">
        <v>3.5458492835339008</v>
      </c>
      <c r="Q25" s="50">
        <v>3.3222516092178069</v>
      </c>
      <c r="R25" s="50">
        <v>3.385168684859547</v>
      </c>
      <c r="S25" s="50">
        <v>3.8142946105661402</v>
      </c>
      <c r="T25" s="50">
        <v>5.9054798361883787</v>
      </c>
      <c r="U25" s="51">
        <v>6.303799515839513</v>
      </c>
      <c r="V25" s="1" t="str">
        <f t="shared" si="8"/>
        <v xml:space="preserve">    3.58605893909863, 3.5458492835339, 3.32225160921781, 3.38516868485955, 3.81429461056614, 5.90547983618838, 6.30379951583951,</v>
      </c>
    </row>
    <row r="26" spans="1:22" ht="15.75" thickBot="1" x14ac:dyDescent="0.25">
      <c r="A26" s="59" t="s">
        <v>22</v>
      </c>
      <c r="B26" s="63"/>
      <c r="C26" s="63"/>
      <c r="D26" s="63"/>
      <c r="E26" s="63"/>
      <c r="F26" s="63"/>
      <c r="G26" s="63"/>
      <c r="H26" s="63"/>
      <c r="I26" s="60"/>
      <c r="J26" s="50"/>
      <c r="K26" s="50"/>
      <c r="L26" s="1"/>
      <c r="M26" s="59" t="s">
        <v>22</v>
      </c>
      <c r="N26" s="63"/>
      <c r="O26" s="63"/>
      <c r="P26" s="63"/>
      <c r="Q26" s="63"/>
      <c r="R26" s="63"/>
      <c r="S26" s="63"/>
      <c r="T26" s="63"/>
      <c r="U26" s="60"/>
      <c r="V26" s="1"/>
    </row>
    <row r="27" spans="1:22" ht="14.25" customHeight="1" thickBot="1" x14ac:dyDescent="0.25">
      <c r="A27" s="59" t="s">
        <v>7</v>
      </c>
      <c r="B27" s="60"/>
      <c r="C27" s="34">
        <v>92.868050634154315</v>
      </c>
      <c r="D27" s="35">
        <v>92.288231222045297</v>
      </c>
      <c r="E27" s="35">
        <v>91.054287148035144</v>
      </c>
      <c r="F27" s="35">
        <v>84.437885333085376</v>
      </c>
      <c r="G27" s="35">
        <v>74.253673383599548</v>
      </c>
      <c r="H27" s="35">
        <v>57.552195558991649</v>
      </c>
      <c r="I27" s="36">
        <v>45.560977654736433</v>
      </c>
      <c r="J27" s="50"/>
      <c r="K27" s="50"/>
      <c r="L27" s="1" t="str">
        <f t="shared" ref="L27:L30" si="10">"    "&amp;_xlfn.TEXTJOIN(", ",TRUE,C27:I27)&amp;","</f>
        <v xml:space="preserve">    92.8680506341543, 92.2882312220453, 91.0542871480351, 84.4378853330854, 74.2536733835995, 57.5521955589916, 45.5609776547364,</v>
      </c>
      <c r="M27" s="59" t="s">
        <v>7</v>
      </c>
      <c r="N27" s="60"/>
      <c r="O27" s="34">
        <v>4.0949495507503526</v>
      </c>
      <c r="P27" s="35">
        <v>4.4354851591423481</v>
      </c>
      <c r="Q27" s="35">
        <v>4.6437372111598876</v>
      </c>
      <c r="R27" s="35">
        <v>5.0311660763107948</v>
      </c>
      <c r="S27" s="35">
        <v>9.8512038160577102</v>
      </c>
      <c r="T27" s="35">
        <v>11.57485796488027</v>
      </c>
      <c r="U27" s="36">
        <v>10.571075661324681</v>
      </c>
      <c r="V27" s="1" t="str">
        <f t="shared" si="8"/>
        <v xml:space="preserve">    4.09494955075035, 4.43548515914235, 4.64373721115989, 5.03116607631079, 9.85120381605771, 11.5748579648803, 10.5710756613247,</v>
      </c>
    </row>
    <row r="28" spans="1:22" ht="15.75" thickBot="1" x14ac:dyDescent="0.25">
      <c r="A28" s="59" t="s">
        <v>8</v>
      </c>
      <c r="B28" s="60"/>
      <c r="C28" s="34">
        <v>92.513598322189821</v>
      </c>
      <c r="D28" s="35">
        <v>91.261446870594469</v>
      </c>
      <c r="E28" s="35">
        <v>89.758265941661861</v>
      </c>
      <c r="F28" s="35">
        <v>85.044465656129674</v>
      </c>
      <c r="G28" s="35">
        <v>75.898843968080286</v>
      </c>
      <c r="H28" s="35">
        <v>59.465611837116732</v>
      </c>
      <c r="I28" s="36">
        <v>48.473156490254198</v>
      </c>
      <c r="J28" s="50"/>
      <c r="K28" s="50"/>
      <c r="L28" s="1" t="str">
        <f t="shared" si="10"/>
        <v xml:space="preserve">    92.5135983221898, 91.2614468705945, 89.7582659416619, 85.0444656561297, 75.8988439680803, 59.4656118371167, 48.4731564902542,</v>
      </c>
      <c r="M28" s="59" t="s">
        <v>8</v>
      </c>
      <c r="N28" s="60"/>
      <c r="O28" s="34">
        <v>4.2171731523020446</v>
      </c>
      <c r="P28" s="35">
        <v>4.6702984752282681</v>
      </c>
      <c r="Q28" s="35">
        <v>5.0608860361047316</v>
      </c>
      <c r="R28" s="35">
        <v>5.9068575059271318</v>
      </c>
      <c r="S28" s="35">
        <v>8.5966909141817851</v>
      </c>
      <c r="T28" s="35">
        <v>10.771320326074211</v>
      </c>
      <c r="U28" s="36">
        <v>10.23603152809228</v>
      </c>
      <c r="V28" s="1" t="str">
        <f t="shared" si="8"/>
        <v xml:space="preserve">    4.21717315230204, 4.67029847522827, 5.06088603610473, 5.90685750592713, 8.59669091418179, 10.7713203260742, 10.2360315280923,</v>
      </c>
    </row>
    <row r="29" spans="1:22" ht="15.75" thickBot="1" x14ac:dyDescent="0.25">
      <c r="A29" s="59" t="s">
        <v>23</v>
      </c>
      <c r="B29" s="60"/>
      <c r="C29" s="52">
        <v>92.570176373736686</v>
      </c>
      <c r="D29" s="53">
        <v>91.035116753825534</v>
      </c>
      <c r="E29" s="53">
        <v>89.995984735900805</v>
      </c>
      <c r="F29" s="53">
        <v>86.101239818995751</v>
      </c>
      <c r="G29" s="53">
        <v>77.099560389949318</v>
      </c>
      <c r="H29" s="53">
        <v>57.996429145301242</v>
      </c>
      <c r="I29" s="54">
        <v>44.399943110932981</v>
      </c>
      <c r="J29" s="50"/>
      <c r="K29" s="50"/>
      <c r="L29" s="1" t="str">
        <f t="shared" si="10"/>
        <v xml:space="preserve">    92.5701763737367, 91.0351167538255, 89.9959847359008, 86.1012398189958, 77.0995603899493, 57.9964291453012, 44.399943110933,</v>
      </c>
      <c r="M29" s="59" t="s">
        <v>23</v>
      </c>
      <c r="N29" s="60"/>
      <c r="O29" s="52">
        <v>3.882028195540002</v>
      </c>
      <c r="P29" s="53">
        <v>4.4292663319519576</v>
      </c>
      <c r="Q29" s="53">
        <v>5.1354581403320241</v>
      </c>
      <c r="R29" s="53">
        <v>5.8685355921558013</v>
      </c>
      <c r="S29" s="53">
        <v>8.0663639251543504</v>
      </c>
      <c r="T29" s="53">
        <v>9.5110854192429173</v>
      </c>
      <c r="U29" s="54">
        <v>8.058131505188614</v>
      </c>
      <c r="V29" s="1" t="str">
        <f t="shared" si="8"/>
        <v xml:space="preserve">    3.88202819554, 4.42926633195196, 5.13545814033202, 5.8685355921558, 8.06636392515435, 9.51108541924292, 8.05813150518861,</v>
      </c>
    </row>
    <row r="30" spans="1:22" ht="15.75" thickBot="1" x14ac:dyDescent="0.25">
      <c r="A30" s="59" t="s">
        <v>24</v>
      </c>
      <c r="B30" s="60"/>
      <c r="C30" s="34">
        <v>92.515649858336417</v>
      </c>
      <c r="D30" s="35">
        <v>90.633837177608882</v>
      </c>
      <c r="E30" s="35">
        <v>89.218749027706451</v>
      </c>
      <c r="F30" s="35">
        <v>83.159104859904048</v>
      </c>
      <c r="G30" s="35">
        <v>75.205406346603183</v>
      </c>
      <c r="H30" s="35">
        <v>58.328595951322271</v>
      </c>
      <c r="I30" s="36">
        <v>44.663256049071087</v>
      </c>
      <c r="J30" s="58"/>
      <c r="K30" s="58"/>
      <c r="L30" s="1" t="str">
        <f t="shared" si="10"/>
        <v xml:space="preserve">    92.5156498583364, 90.6338371776089, 89.2187490277065, 83.159104859904, 75.2054063466032, 58.3285959513223, 44.6632560490711,</v>
      </c>
      <c r="M30" s="59" t="s">
        <v>24</v>
      </c>
      <c r="N30" s="60"/>
      <c r="O30" s="34">
        <v>4.2818937520906779</v>
      </c>
      <c r="P30" s="35">
        <v>5.0215820890726173</v>
      </c>
      <c r="Q30" s="35">
        <v>5.2048209810817641</v>
      </c>
      <c r="R30" s="35">
        <v>6.0125954692045056</v>
      </c>
      <c r="S30" s="35">
        <v>8.4472284006849367</v>
      </c>
      <c r="T30" s="35">
        <v>11.323085110814951</v>
      </c>
      <c r="U30" s="36">
        <v>10.33126321411414</v>
      </c>
      <c r="V30" s="1" t="str">
        <f t="shared" si="8"/>
        <v xml:space="preserve">    4.28189375209068, 5.02158208907262, 5.20482098108176, 6.01259546920451, 8.44722840068494, 11.323085110815, 10.3312632141141,</v>
      </c>
    </row>
    <row r="31" spans="1:22" ht="15.75" customHeight="1" thickBot="1" x14ac:dyDescent="0.25">
      <c r="A31" s="59" t="s">
        <v>25</v>
      </c>
      <c r="B31" s="63"/>
      <c r="C31" s="64"/>
      <c r="D31" s="64"/>
      <c r="E31" s="64"/>
      <c r="F31" s="64"/>
      <c r="G31" s="64"/>
      <c r="H31" s="64"/>
      <c r="I31" s="62"/>
      <c r="J31" s="50"/>
      <c r="K31" s="50"/>
      <c r="L31" s="1"/>
      <c r="M31" s="59" t="s">
        <v>25</v>
      </c>
      <c r="N31" s="63"/>
      <c r="O31" s="64"/>
      <c r="P31" s="64"/>
      <c r="Q31" s="64"/>
      <c r="R31" s="64"/>
      <c r="S31" s="64"/>
      <c r="T31" s="64"/>
      <c r="U31" s="62"/>
      <c r="V31" s="1"/>
    </row>
    <row r="32" spans="1:22" ht="15.75" customHeight="1" thickBot="1" x14ac:dyDescent="0.25">
      <c r="A32" s="59" t="s">
        <v>7</v>
      </c>
      <c r="B32" s="60"/>
      <c r="C32" s="34">
        <v>91.365503103283018</v>
      </c>
      <c r="D32" s="35">
        <v>90.485891056064375</v>
      </c>
      <c r="E32" s="35">
        <v>89.568582528718636</v>
      </c>
      <c r="F32" s="35">
        <v>87.35503422782692</v>
      </c>
      <c r="G32" s="35">
        <v>83.775802183320806</v>
      </c>
      <c r="H32" s="35">
        <v>59.664242373274107</v>
      </c>
      <c r="I32" s="36">
        <v>38.734493305012087</v>
      </c>
      <c r="J32" s="50"/>
      <c r="K32" s="50"/>
      <c r="L32" s="1" t="str">
        <f t="shared" ref="L32:L35" si="11">"    "&amp;_xlfn.TEXTJOIN(", ",TRUE,C32:I32)&amp;","</f>
        <v xml:space="preserve">    91.365503103283, 90.4858910560644, 89.5685825287186, 87.3550342278269, 83.7758021833208, 59.6642423732741, 38.7344933050121,</v>
      </c>
      <c r="M32" s="59" t="s">
        <v>7</v>
      </c>
      <c r="N32" s="60"/>
      <c r="O32" s="34">
        <v>3.8096312747348571</v>
      </c>
      <c r="P32" s="35">
        <v>3.3823322749479061</v>
      </c>
      <c r="Q32" s="35">
        <v>3.1901414384399041</v>
      </c>
      <c r="R32" s="35">
        <v>3.435608860758363</v>
      </c>
      <c r="S32" s="35">
        <v>3.9801135842717961</v>
      </c>
      <c r="T32" s="35">
        <v>7.4065519031840097</v>
      </c>
      <c r="U32" s="36">
        <v>4.3412957141341879</v>
      </c>
      <c r="V32" s="1" t="str">
        <f t="shared" ref="V32:V35" si="12">"    "&amp;_xlfn.TEXTJOIN(", ",TRUE,O32:U32)&amp;","</f>
        <v xml:space="preserve">    3.80963127473486, 3.38233227494791, 3.1901414384399, 3.43560886075836, 3.9801135842718, 7.40655190318401, 4.34129571413419,</v>
      </c>
    </row>
    <row r="33" spans="1:22" ht="15.75" customHeight="1" thickBot="1" x14ac:dyDescent="0.25">
      <c r="A33" s="61" t="s">
        <v>8</v>
      </c>
      <c r="B33" s="62"/>
      <c r="C33" s="34">
        <v>91.352017689458577</v>
      </c>
      <c r="D33" s="35">
        <v>90.612646908845178</v>
      </c>
      <c r="E33" s="35">
        <v>89.673109045448143</v>
      </c>
      <c r="F33" s="35">
        <v>87.570648852891097</v>
      </c>
      <c r="G33" s="35">
        <v>85.153610116106222</v>
      </c>
      <c r="H33" s="35">
        <v>70.154101376724071</v>
      </c>
      <c r="I33" s="36">
        <v>44.255354014211143</v>
      </c>
      <c r="J33" s="50"/>
      <c r="K33" s="50"/>
      <c r="L33" s="1" t="str">
        <f t="shared" si="11"/>
        <v xml:space="preserve">    91.3520176894586, 90.6126469088452, 89.6731090454481, 87.5706488528911, 85.1536101161062, 70.1541013767241, 44.2553540142111,</v>
      </c>
      <c r="M33" s="59" t="s">
        <v>8</v>
      </c>
      <c r="N33" s="60"/>
      <c r="O33" s="34">
        <v>3.6410788132464011</v>
      </c>
      <c r="P33" s="35">
        <v>3.0474479281352909</v>
      </c>
      <c r="Q33" s="35">
        <v>2.5295084567057469</v>
      </c>
      <c r="R33" s="35">
        <v>2.7268738132327659</v>
      </c>
      <c r="S33" s="35">
        <v>4.0335194528578784</v>
      </c>
      <c r="T33" s="35">
        <v>5.245193605897664</v>
      </c>
      <c r="U33" s="36">
        <v>2.5110804834384211</v>
      </c>
      <c r="V33" s="1" t="str">
        <f t="shared" si="12"/>
        <v xml:space="preserve">    3.6410788132464, 3.04744792813529, 2.52950845670575, 2.72687381323277, 4.03351945285788, 5.24519360589766, 2.51108048343842,</v>
      </c>
    </row>
    <row r="34" spans="1:22" ht="15.75" customHeight="1" thickBot="1" x14ac:dyDescent="0.25">
      <c r="A34" s="59" t="s">
        <v>23</v>
      </c>
      <c r="B34" s="60"/>
      <c r="C34" s="34">
        <v>92.61946302134767</v>
      </c>
      <c r="D34" s="35">
        <v>91.641845498508658</v>
      </c>
      <c r="E34" s="35">
        <v>90.604490520989373</v>
      </c>
      <c r="F34" s="35">
        <v>86.028930620603035</v>
      </c>
      <c r="G34" s="35">
        <v>77.869547765340229</v>
      </c>
      <c r="H34" s="35">
        <v>58.066616072179237</v>
      </c>
      <c r="I34" s="36">
        <v>44.282072681774139</v>
      </c>
      <c r="J34" s="50"/>
      <c r="K34" s="50"/>
      <c r="L34" s="1" t="str">
        <f t="shared" si="11"/>
        <v xml:space="preserve">    92.6194630213477, 91.6418454985087, 90.6044905209894, 86.028930620603, 77.8695477653402, 58.0666160721792, 44.2820726817741,</v>
      </c>
      <c r="M34" s="59" t="s">
        <v>23</v>
      </c>
      <c r="N34" s="60"/>
      <c r="O34" s="34">
        <v>4.1202488894386304</v>
      </c>
      <c r="P34" s="35">
        <v>4.4587262447220368</v>
      </c>
      <c r="Q34" s="35">
        <v>4.1451701238630649</v>
      </c>
      <c r="R34" s="35">
        <v>4.7547668035033421</v>
      </c>
      <c r="S34" s="35">
        <v>7.3962800398529813</v>
      </c>
      <c r="T34" s="35">
        <v>11.13409225199972</v>
      </c>
      <c r="U34" s="36">
        <v>10.21410985821676</v>
      </c>
      <c r="V34" s="1" t="str">
        <f t="shared" si="12"/>
        <v xml:space="preserve">    4.12024888943863, 4.45872624472204, 4.14517012386306, 4.75476680350334, 7.39628003985298, 11.1340922519997, 10.2141098582168,</v>
      </c>
    </row>
    <row r="35" spans="1:22" ht="15.75" customHeight="1" thickBot="1" x14ac:dyDescent="0.25">
      <c r="A35" s="59" t="s">
        <v>24</v>
      </c>
      <c r="B35" s="60"/>
      <c r="C35" s="34">
        <v>92.836313492728166</v>
      </c>
      <c r="D35" s="35">
        <v>91.35902579070337</v>
      </c>
      <c r="E35" s="35">
        <v>89.600386013681359</v>
      </c>
      <c r="F35" s="35">
        <v>83.549429512462467</v>
      </c>
      <c r="G35" s="35">
        <v>75.443451304684089</v>
      </c>
      <c r="H35" s="35">
        <v>58.040988875657007</v>
      </c>
      <c r="I35" s="36">
        <v>44.45694317203499</v>
      </c>
      <c r="J35" s="50"/>
      <c r="K35" s="50"/>
      <c r="L35" s="1" t="str">
        <f t="shared" si="11"/>
        <v xml:space="preserve">    92.8363134927282, 91.3590257907034, 89.6003860136814, 83.5494295124625, 75.4434513046841, 58.040988875657, 44.456943172035,</v>
      </c>
      <c r="M35" s="59" t="s">
        <v>24</v>
      </c>
      <c r="N35" s="60"/>
      <c r="O35" s="34">
        <v>4.0350169218649814</v>
      </c>
      <c r="P35" s="35">
        <v>4.8715238888136483</v>
      </c>
      <c r="Q35" s="35">
        <v>5.0114819755482234</v>
      </c>
      <c r="R35" s="35">
        <v>5.5418311462698613</v>
      </c>
      <c r="S35" s="35">
        <v>8.7209269933539382</v>
      </c>
      <c r="T35" s="35">
        <v>10.65690967583773</v>
      </c>
      <c r="U35" s="36">
        <v>11.553116561579911</v>
      </c>
      <c r="V35" s="1" t="str">
        <f t="shared" si="12"/>
        <v xml:space="preserve">    4.03501692186498, 4.87152388881365, 5.01148197554822, 5.54183114626986, 8.72092699335394, 10.6569096758377, 11.5531165615799,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2:B2"/>
    <mergeCell ref="M2:N2"/>
    <mergeCell ref="A3:B3"/>
    <mergeCell ref="M3:N3"/>
    <mergeCell ref="A4:B4"/>
    <mergeCell ref="M4:N4"/>
    <mergeCell ref="A5:I5"/>
    <mergeCell ref="M5:U5"/>
    <mergeCell ref="A8:I8"/>
    <mergeCell ref="M8:U8"/>
    <mergeCell ref="A9:B9"/>
    <mergeCell ref="M9:N9"/>
    <mergeCell ref="A10:B10"/>
    <mergeCell ref="M10:N10"/>
    <mergeCell ref="A11:B11"/>
    <mergeCell ref="M11:N11"/>
    <mergeCell ref="A12:B12"/>
    <mergeCell ref="M12:N12"/>
    <mergeCell ref="A13:I13"/>
    <mergeCell ref="M13:U13"/>
    <mergeCell ref="A14:B14"/>
    <mergeCell ref="M14:N14"/>
    <mergeCell ref="A15:B15"/>
    <mergeCell ref="M15:N15"/>
    <mergeCell ref="A16:B16"/>
    <mergeCell ref="M16:N16"/>
    <mergeCell ref="A17:B17"/>
    <mergeCell ref="M17:N17"/>
    <mergeCell ref="A20:B20"/>
    <mergeCell ref="M20:N20"/>
    <mergeCell ref="A21:B21"/>
    <mergeCell ref="M21:N21"/>
    <mergeCell ref="A22:B22"/>
    <mergeCell ref="M22:N22"/>
    <mergeCell ref="A23:I23"/>
    <mergeCell ref="M23:U23"/>
    <mergeCell ref="A26:I26"/>
    <mergeCell ref="M26:U26"/>
    <mergeCell ref="A27:B27"/>
    <mergeCell ref="M27:N27"/>
    <mergeCell ref="A28:B28"/>
    <mergeCell ref="M28:N28"/>
    <mergeCell ref="A29:B29"/>
    <mergeCell ref="M29:N29"/>
    <mergeCell ref="A30:B30"/>
    <mergeCell ref="M30:N30"/>
    <mergeCell ref="A31:I31"/>
    <mergeCell ref="M31:U31"/>
    <mergeCell ref="A35:B35"/>
    <mergeCell ref="M35:N35"/>
    <mergeCell ref="A32:B32"/>
    <mergeCell ref="M32:N32"/>
    <mergeCell ref="A33:B33"/>
    <mergeCell ref="M33:N33"/>
    <mergeCell ref="A34:B34"/>
    <mergeCell ref="M34:N34"/>
  </mergeCells>
  <phoneticPr fontId="1" type="noConversion"/>
  <conditionalFormatting sqref="C9:I11 C6:I7 C2:I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6:I7 C2:I4 C14:I17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2:K13 C2:K4 C6:K7 J5:K5 C9:K11 J8:K8 J17:K17 C14:K1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5" t="s">
        <v>5</v>
      </c>
      <c r="B2" s="66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5" t="s">
        <v>5</v>
      </c>
      <c r="N2" s="66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5" t="s">
        <v>6</v>
      </c>
      <c r="B3" s="66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65" t="s">
        <v>6</v>
      </c>
      <c r="N3" s="66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5" t="s">
        <v>10</v>
      </c>
      <c r="B4" s="66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5" t="s">
        <v>10</v>
      </c>
      <c r="N4" s="66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5" t="s">
        <v>14</v>
      </c>
      <c r="B5" s="67"/>
      <c r="C5" s="67"/>
      <c r="D5" s="67"/>
      <c r="E5" s="67"/>
      <c r="F5" s="67"/>
      <c r="G5" s="67"/>
      <c r="H5" s="67"/>
      <c r="I5" s="66"/>
      <c r="J5" s="41"/>
      <c r="K5" s="41"/>
      <c r="L5" s="12"/>
      <c r="M5" s="65" t="s">
        <v>14</v>
      </c>
      <c r="N5" s="67"/>
      <c r="O5" s="67"/>
      <c r="P5" s="67"/>
      <c r="Q5" s="67"/>
      <c r="R5" s="67"/>
      <c r="S5" s="67"/>
      <c r="T5" s="67"/>
      <c r="U5" s="66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si="0"/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si="1"/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0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1"/>
        <v xml:space="preserve">    3.27881054044227, 3.27504692524, 3.08723191658787, 3.11651024153484, 3.63301241656389, 5.83923787859262, 5.83339587897884,</v>
      </c>
    </row>
    <row r="8" spans="1:22" ht="15.75" customHeight="1" thickBot="1" x14ac:dyDescent="0.25">
      <c r="A8" s="7" t="s">
        <v>12</v>
      </c>
      <c r="B8" s="8" t="s">
        <v>19</v>
      </c>
      <c r="C8" s="37">
        <v>93.178957718780751</v>
      </c>
      <c r="D8" s="38">
        <v>92.588021234324387</v>
      </c>
      <c r="E8" s="38">
        <v>91.154392915740331</v>
      </c>
      <c r="F8" s="38">
        <v>86.726182752445951</v>
      </c>
      <c r="G8" s="38">
        <v>79.592533960789737</v>
      </c>
      <c r="H8" s="38">
        <v>59.385398374265058</v>
      </c>
      <c r="I8" s="39">
        <v>46.003956204926787</v>
      </c>
      <c r="J8" s="41" cm="1">
        <f t="array" ref="J8">-SUMPRODUCT((D1:H1-C1:G1)*(C8:G8+D8:H8)/2)</f>
        <v>79.241564157129375</v>
      </c>
      <c r="K8" s="41" cm="1">
        <f t="array" ref="K8">-SUMPRODUCT((D1:I1-C1:H1)*(C8:H8+D8:I8)/2)</f>
        <v>81.876298021609173</v>
      </c>
      <c r="L8" s="12"/>
      <c r="M8" s="7" t="s">
        <v>12</v>
      </c>
      <c r="N8" s="8" t="s">
        <v>19</v>
      </c>
      <c r="O8" s="37">
        <v>3.4918802134136859</v>
      </c>
      <c r="P8" s="38">
        <v>3.2674185777936322</v>
      </c>
      <c r="Q8" s="38">
        <v>3.5657852237659609</v>
      </c>
      <c r="R8" s="38">
        <v>4.788330235940748</v>
      </c>
      <c r="S8" s="38">
        <v>6.7304751140555794</v>
      </c>
      <c r="T8" s="38">
        <v>9.9654838580001908</v>
      </c>
      <c r="U8" s="39">
        <v>8.2806755227569209</v>
      </c>
      <c r="V8" s="12"/>
    </row>
    <row r="9" spans="1:22" ht="15.75" customHeight="1" thickBot="1" x14ac:dyDescent="0.25">
      <c r="A9" s="7" t="s">
        <v>12</v>
      </c>
      <c r="B9" s="8" t="s">
        <v>20</v>
      </c>
      <c r="C9" s="55">
        <v>93.484787930691454</v>
      </c>
      <c r="D9" s="32">
        <v>92.286170295590779</v>
      </c>
      <c r="E9" s="32">
        <v>90.520439911533245</v>
      </c>
      <c r="F9" s="32">
        <v>86.970262141829366</v>
      </c>
      <c r="G9" s="32">
        <v>76.004036943802859</v>
      </c>
      <c r="H9" s="32">
        <v>57.733005187472791</v>
      </c>
      <c r="I9" s="33">
        <v>47.315746676009297</v>
      </c>
      <c r="J9" s="41" cm="1">
        <f t="array" ref="J9">-SUMPRODUCT((D1:H1-C1:G1)*(C9:G9+D9:H9)/2)</f>
        <v>78.656833320357435</v>
      </c>
      <c r="K9" s="41" cm="1">
        <f t="array" ref="K9">-SUMPRODUCT((D1:I1-C1:H1)*(C9:H9+D9:I9)/2)</f>
        <v>81.283052116944489</v>
      </c>
      <c r="L9" s="12"/>
      <c r="M9" s="7" t="s">
        <v>12</v>
      </c>
      <c r="N9" s="8" t="s">
        <v>20</v>
      </c>
      <c r="O9" s="55">
        <v>3.4442566922914959</v>
      </c>
      <c r="P9" s="32">
        <v>3.9409056823187019</v>
      </c>
      <c r="Q9" s="32">
        <v>4.0414392946512523</v>
      </c>
      <c r="R9" s="32">
        <v>4.0313253500272799</v>
      </c>
      <c r="S9" s="32">
        <v>9.4673894695851892</v>
      </c>
      <c r="T9" s="32">
        <v>11.13615006293981</v>
      </c>
      <c r="U9" s="33">
        <v>9.7110750490101303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55">
        <v>93.108161258603744</v>
      </c>
      <c r="D10" s="32">
        <v>92.06688062468821</v>
      </c>
      <c r="E10" s="32">
        <v>91.050153259687931</v>
      </c>
      <c r="F10" s="32">
        <v>88.14252141742864</v>
      </c>
      <c r="G10" s="32">
        <v>81.805525999359858</v>
      </c>
      <c r="H10" s="32">
        <v>61.262652214407851</v>
      </c>
      <c r="I10" s="33">
        <v>50.605371442082827</v>
      </c>
      <c r="J10" s="41" cm="1">
        <f t="array" ref="J10">-SUMPRODUCT((D1:H1-C1:G1)*(C10:G10+D10:H10)/2)</f>
        <v>79.606588220197978</v>
      </c>
      <c r="K10" s="41" cm="1">
        <f t="array" ref="K10">-SUMPRODUCT((D1:I1-C1:H1)*(C10:H10+D10:I10)/2)</f>
        <v>82.403288811610238</v>
      </c>
      <c r="L10" s="12" t="str">
        <f t="shared" si="0"/>
        <v xml:space="preserve">    93.1081612586037, 92.0668806246882, 91.0501532596879, 88.1425214174286, 81.8055259993599, 61.2626522144079, 50.6053714420828,</v>
      </c>
      <c r="M10" s="7" t="s">
        <v>12</v>
      </c>
      <c r="N10" s="8" t="s">
        <v>17</v>
      </c>
      <c r="O10" s="55">
        <v>3.8601198040536779</v>
      </c>
      <c r="P10" s="32">
        <v>3.8002863673418821</v>
      </c>
      <c r="Q10" s="32">
        <v>3.9464349866089141</v>
      </c>
      <c r="R10" s="32">
        <v>3.955874479625876</v>
      </c>
      <c r="S10" s="32">
        <v>5.3194143005645147</v>
      </c>
      <c r="T10" s="32">
        <v>9.6259787509159409</v>
      </c>
      <c r="U10" s="33">
        <v>8.0386616165015887</v>
      </c>
      <c r="V10" s="12"/>
    </row>
    <row r="11" spans="1:22" ht="15.75" customHeight="1" thickBot="1" x14ac:dyDescent="0.25">
      <c r="A11" s="7" t="s">
        <v>11</v>
      </c>
      <c r="B11" s="8" t="s">
        <v>21</v>
      </c>
      <c r="C11" s="43"/>
      <c r="D11" s="44"/>
      <c r="E11" s="44"/>
      <c r="F11" s="44"/>
      <c r="G11" s="44"/>
      <c r="H11" s="44"/>
      <c r="I11" s="45"/>
      <c r="J11" s="41"/>
      <c r="K11" s="41"/>
      <c r="L11" s="12"/>
      <c r="M11" s="7" t="s">
        <v>11</v>
      </c>
      <c r="N11" s="8" t="s">
        <v>21</v>
      </c>
      <c r="O11" s="43"/>
      <c r="P11" s="44"/>
      <c r="Q11" s="44"/>
      <c r="R11" s="44"/>
      <c r="S11" s="44"/>
      <c r="T11" s="44"/>
      <c r="U11" s="45"/>
      <c r="V11" s="12"/>
    </row>
    <row r="12" spans="1:22" ht="15.75" customHeight="1" thickBot="1" x14ac:dyDescent="0.25">
      <c r="A12" s="3" t="s">
        <v>11</v>
      </c>
      <c r="B12" s="8" t="s">
        <v>18</v>
      </c>
      <c r="C12" s="43"/>
      <c r="D12" s="44"/>
      <c r="E12" s="44"/>
      <c r="F12" s="44"/>
      <c r="G12" s="44"/>
      <c r="H12" s="44"/>
      <c r="I12" s="45"/>
      <c r="J12" s="41"/>
      <c r="K12" s="41"/>
      <c r="L12" s="12" t="str">
        <f t="shared" si="0"/>
        <v xml:space="preserve">    ,</v>
      </c>
      <c r="M12" s="3" t="s">
        <v>11</v>
      </c>
      <c r="N12" s="8" t="s">
        <v>18</v>
      </c>
      <c r="O12" s="43"/>
      <c r="P12" s="44"/>
      <c r="Q12" s="44"/>
      <c r="R12" s="44"/>
      <c r="S12" s="44"/>
      <c r="T12" s="44"/>
      <c r="U12" s="45"/>
      <c r="V12" s="12"/>
    </row>
    <row r="13" spans="1:22" ht="15.75" thickBot="1" x14ac:dyDescent="0.25">
      <c r="A13" s="65" t="s">
        <v>22</v>
      </c>
      <c r="B13" s="67"/>
      <c r="C13" s="67"/>
      <c r="D13" s="67"/>
      <c r="E13" s="67"/>
      <c r="F13" s="67"/>
      <c r="G13" s="67"/>
      <c r="H13" s="67"/>
      <c r="I13" s="66"/>
      <c r="J13" s="41"/>
      <c r="K13" s="41"/>
      <c r="L13" s="12"/>
      <c r="M13" s="65" t="s">
        <v>22</v>
      </c>
      <c r="N13" s="67"/>
      <c r="O13" s="67"/>
      <c r="P13" s="67"/>
      <c r="Q13" s="67"/>
      <c r="R13" s="67"/>
      <c r="S13" s="67"/>
      <c r="T13" s="67"/>
      <c r="U13" s="66"/>
      <c r="V13" s="12"/>
    </row>
    <row r="14" spans="1:22" ht="15.75" customHeight="1" thickBot="1" x14ac:dyDescent="0.25">
      <c r="A14" s="65" t="s">
        <v>7</v>
      </c>
      <c r="B14" s="66"/>
      <c r="C14" s="55">
        <v>93.32548436116808</v>
      </c>
      <c r="D14" s="32">
        <v>92.739539269370866</v>
      </c>
      <c r="E14" s="32">
        <v>91.500872268214565</v>
      </c>
      <c r="F14" s="32">
        <v>85.143369175627228</v>
      </c>
      <c r="G14" s="32">
        <v>75.147299428772442</v>
      </c>
      <c r="H14" s="32">
        <v>59.129842530356363</v>
      </c>
      <c r="I14" s="33">
        <v>48.364190001643621</v>
      </c>
      <c r="J14" s="41" cm="1">
        <f t="array" ref="J14">-SUMPRODUCT((D1:H1-C1:G1)*(C14:G14+D14:H14)/2)</f>
        <v>78.680994068576155</v>
      </c>
      <c r="K14" s="41" cm="1">
        <f t="array" ref="K14">-SUMPRODUCT((D1:I1-C1:H1)*(C14:H14+D14:I14)/2)</f>
        <v>81.368344881876155</v>
      </c>
      <c r="L14" s="12" t="str">
        <f t="shared" si="0"/>
        <v xml:space="preserve">    93.3254843611681, 92.7395392693709, 91.5008722682146, 85.1433691756272, 75.1472994287724, 59.1298425303564, 48.3641900016436,</v>
      </c>
      <c r="M14" s="65" t="s">
        <v>7</v>
      </c>
      <c r="N14" s="66"/>
      <c r="O14" s="55">
        <v>3.667959563183556</v>
      </c>
      <c r="P14" s="32">
        <v>3.989772059278164</v>
      </c>
      <c r="Q14" s="32">
        <v>4.3227288020875694</v>
      </c>
      <c r="R14" s="32">
        <v>4.691214264977404</v>
      </c>
      <c r="S14" s="32">
        <v>9.351372365820513</v>
      </c>
      <c r="T14" s="32">
        <v>11.12402361905577</v>
      </c>
      <c r="U14" s="33">
        <v>9.7177921031411447</v>
      </c>
      <c r="V14" s="12" t="str">
        <f t="shared" si="1"/>
        <v xml:space="preserve">    3.66795956318356, 3.98977205927816, 4.32272880208757, 4.6912142649774, 9.35137236582051, 11.1240236190558, 9.71779210314114,</v>
      </c>
    </row>
    <row r="15" spans="1:22" ht="15.75" customHeight="1" thickBot="1" x14ac:dyDescent="0.25">
      <c r="A15" s="70" t="s">
        <v>8</v>
      </c>
      <c r="B15" s="69"/>
      <c r="C15" s="55">
        <v>93.029579263949799</v>
      </c>
      <c r="D15" s="32">
        <v>91.699489903315182</v>
      </c>
      <c r="E15" s="32">
        <v>90.230102913231647</v>
      </c>
      <c r="F15" s="32">
        <v>85.684437869993104</v>
      </c>
      <c r="G15" s="32">
        <v>76.604408342632709</v>
      </c>
      <c r="H15" s="32">
        <v>60.525240991127369</v>
      </c>
      <c r="I15" s="33">
        <v>50.546463781405251</v>
      </c>
      <c r="J15" s="41" cm="1">
        <f t="array" ref="J15">-SUMPRODUCT((D1:H1-C1:G1)*(C15:G15+D15:H15)/2)</f>
        <v>78.394711603618248</v>
      </c>
      <c r="K15" s="41" cm="1">
        <f t="array" ref="K15">-SUMPRODUCT((D1:I1-C1:H1)*(C15:H15+D15:I15)/2)</f>
        <v>81.17150422293156</v>
      </c>
      <c r="L15" s="12" t="str">
        <f t="shared" si="0"/>
        <v xml:space="preserve">    93.0295792639498, 91.6994899033152, 90.2301029132316, 85.6844378699931, 76.6044083426327, 60.5252409911274, 50.5464637814053,</v>
      </c>
      <c r="M15" s="65" t="s">
        <v>8</v>
      </c>
      <c r="N15" s="66"/>
      <c r="O15" s="55">
        <v>3.744976414623296</v>
      </c>
      <c r="P15" s="32">
        <v>4.343666270045687</v>
      </c>
      <c r="Q15" s="32">
        <v>4.7437159565801874</v>
      </c>
      <c r="R15" s="32">
        <v>5.5306123777224894</v>
      </c>
      <c r="S15" s="32">
        <v>8.3512102986812558</v>
      </c>
      <c r="T15" s="32">
        <v>10.38527872584435</v>
      </c>
      <c r="U15" s="33">
        <v>9.5213328677383782</v>
      </c>
      <c r="V15" s="12" t="str">
        <f t="shared" si="1"/>
        <v xml:space="preserve">    3.7449764146233, 4.34366627004569, 4.74371595658019, 5.53061237772249, 8.35121029868126, 10.3852787258443, 9.52133286773838,</v>
      </c>
    </row>
    <row r="16" spans="1:22" ht="15.75" customHeight="1" thickBot="1" x14ac:dyDescent="0.25">
      <c r="A16" s="65" t="s">
        <v>23</v>
      </c>
      <c r="B16" s="66"/>
      <c r="C16" s="55">
        <v>92.961657684466715</v>
      </c>
      <c r="D16" s="32">
        <v>91.581357393518388</v>
      </c>
      <c r="E16" s="32">
        <v>90.473438351542839</v>
      </c>
      <c r="F16" s="32">
        <v>86.603606720934735</v>
      </c>
      <c r="G16" s="32">
        <v>77.903932271617123</v>
      </c>
      <c r="H16" s="32">
        <v>59.567908603592286</v>
      </c>
      <c r="I16" s="33">
        <v>48.445153793141223</v>
      </c>
      <c r="J16" s="41" cm="1">
        <f t="array" ref="J16">-SUMPRODUCT((D1:H1-C1:G1)*(C16:G16+D16:H16)/2)</f>
        <v>78.631399853516598</v>
      </c>
      <c r="K16" s="41" cm="1">
        <f t="array" ref="K16">-SUMPRODUCT((D1:I1-C1:H1)*(C16:H16+D16:I16)/2)</f>
        <v>81.331726413434936</v>
      </c>
      <c r="L16" s="12" t="str">
        <f t="shared" si="0"/>
        <v xml:space="preserve">    92.9616576844667, 91.5813573935184, 90.4734383515428, 86.6036067209347, 77.9039322716171, 59.5679086035923, 48.4451537931412,</v>
      </c>
      <c r="M16" s="65" t="s">
        <v>23</v>
      </c>
      <c r="N16" s="66"/>
      <c r="O16" s="43">
        <v>3.561541743303076</v>
      </c>
      <c r="P16" s="44">
        <v>4.0732299909545224</v>
      </c>
      <c r="Q16" s="44">
        <v>4.7078541322877587</v>
      </c>
      <c r="R16" s="44">
        <v>5.7340237026421512</v>
      </c>
      <c r="S16" s="44">
        <v>7.7315701222211866</v>
      </c>
      <c r="T16" s="44">
        <v>8.7921119837631458</v>
      </c>
      <c r="U16" s="45">
        <v>6.9480359155607783</v>
      </c>
      <c r="V16" s="12" t="str">
        <f t="shared" si="1"/>
        <v xml:space="preserve">    3.56154174330308, 4.07322999095452, 4.70785413228776, 5.73402370264215, 7.73157012222119, 8.79211198376315, 6.94803591556078,</v>
      </c>
    </row>
    <row r="17" spans="1:22" ht="15.75" customHeight="1" thickBot="1" x14ac:dyDescent="0.25">
      <c r="A17" s="65" t="s">
        <v>24</v>
      </c>
      <c r="B17" s="66"/>
      <c r="C17" s="55">
        <v>93.033472031188253</v>
      </c>
      <c r="D17" s="32">
        <v>91.100681378443298</v>
      </c>
      <c r="E17" s="32">
        <v>89.756246449652096</v>
      </c>
      <c r="F17" s="32">
        <v>83.92601147068747</v>
      </c>
      <c r="G17" s="32">
        <v>76.162322626781645</v>
      </c>
      <c r="H17" s="32">
        <v>59.765018151829473</v>
      </c>
      <c r="I17" s="33">
        <v>48.291320282470707</v>
      </c>
      <c r="J17" s="41" cm="1">
        <f t="array" ref="J17">-SUMPRODUCT((D1:H1-C1:G1)*(C17:G17+D17:H17)/2)</f>
        <v>77.792894690553823</v>
      </c>
      <c r="K17" s="41" cm="1">
        <f t="array" ref="K17">-SUMPRODUCT((D1:I1-C1:H1)*(C17:H17+D17:I17)/2)</f>
        <v>80.49430315141133</v>
      </c>
      <c r="L17" s="12"/>
      <c r="M17" s="65" t="s">
        <v>24</v>
      </c>
      <c r="N17" s="66"/>
      <c r="O17" s="55">
        <v>3.8568466007702029</v>
      </c>
      <c r="P17" s="32">
        <v>4.6595572983107783</v>
      </c>
      <c r="Q17" s="32">
        <v>4.7370792660764716</v>
      </c>
      <c r="R17" s="32">
        <v>5.5210922070370687</v>
      </c>
      <c r="S17" s="32">
        <v>8.0424472924959218</v>
      </c>
      <c r="T17" s="32">
        <v>10.57495823817662</v>
      </c>
      <c r="U17" s="33">
        <v>9.4501253063826809</v>
      </c>
      <c r="V17" s="12"/>
    </row>
    <row r="18" spans="1:22" ht="15.75" customHeight="1" thickBot="1" x14ac:dyDescent="0.25">
      <c r="A18" s="65" t="s">
        <v>25</v>
      </c>
      <c r="B18" s="67"/>
      <c r="C18" s="68"/>
      <c r="D18" s="68"/>
      <c r="E18" s="68"/>
      <c r="F18" s="68"/>
      <c r="G18" s="68"/>
      <c r="H18" s="68"/>
      <c r="I18" s="69"/>
      <c r="J18" s="41"/>
      <c r="K18" s="41"/>
      <c r="L18" s="12"/>
      <c r="M18" s="65" t="s">
        <v>25</v>
      </c>
      <c r="N18" s="67"/>
      <c r="O18" s="68"/>
      <c r="P18" s="68"/>
      <c r="Q18" s="68"/>
      <c r="R18" s="68"/>
      <c r="S18" s="68"/>
      <c r="T18" s="68"/>
      <c r="U18" s="69"/>
      <c r="V18" s="12"/>
    </row>
    <row r="19" spans="1:22" ht="15.75" customHeight="1" thickBot="1" x14ac:dyDescent="0.25">
      <c r="A19" s="65" t="s">
        <v>7</v>
      </c>
      <c r="B19" s="66"/>
      <c r="C19" s="55">
        <v>91.808259587020672</v>
      </c>
      <c r="D19" s="32">
        <v>90.918387413962634</v>
      </c>
      <c r="E19" s="32">
        <v>89.996141835136996</v>
      </c>
      <c r="F19" s="32">
        <v>87.690311623226279</v>
      </c>
      <c r="G19" s="32">
        <v>84.300178490586703</v>
      </c>
      <c r="H19" s="32">
        <v>60.212671966597178</v>
      </c>
      <c r="I19" s="33">
        <v>42.728460742163293</v>
      </c>
      <c r="J19" s="41" cm="1">
        <f t="array" ref="J19">-SUMPRODUCT((D1:H1-C1:G1)*(C19:G19+D19:H19)/2)</f>
        <v>79.048959405646542</v>
      </c>
      <c r="K19" s="41" cm="1">
        <f t="array" ref="K19">-SUMPRODUCT((D1:I1-C1:H1)*(C19:H19+D19:I19)/2)</f>
        <v>81.622487723365552</v>
      </c>
      <c r="L19" s="12" t="str">
        <f t="shared" ref="L19:L21" si="2">"    "&amp;_xlfn.TEXTJOIN(", ",TRUE,C19:I19)&amp;","</f>
        <v xml:space="preserve">    91.8082595870207, 90.9183874139626, 89.996141835137, 87.6903116232263, 84.3001784905867, 60.2126719665972, 42.7284607421633,</v>
      </c>
      <c r="M19" s="65" t="s">
        <v>7</v>
      </c>
      <c r="N19" s="66"/>
      <c r="O19" s="55">
        <v>3.5081436422345762</v>
      </c>
      <c r="P19" s="32">
        <v>3.2318299507081201</v>
      </c>
      <c r="Q19" s="32">
        <v>2.9043906528931069</v>
      </c>
      <c r="R19" s="32">
        <v>3.2703414364377852</v>
      </c>
      <c r="S19" s="32">
        <v>3.862191195058998</v>
      </c>
      <c r="T19" s="32">
        <v>7.0362299825413483</v>
      </c>
      <c r="U19" s="33">
        <v>3.4420784039601222</v>
      </c>
      <c r="V19" s="12" t="str">
        <f t="shared" ref="V19:V21" si="3">"    "&amp;_xlfn.TEXTJOIN(", ",TRUE,O19:U19)&amp;","</f>
        <v xml:space="preserve">    3.50814364223458, 3.23182995070812, 2.90439065289311, 3.27034143643779, 3.862191195059, 7.03622998254135, 3.44207840396012,</v>
      </c>
    </row>
    <row r="20" spans="1:22" ht="15.75" customHeight="1" thickBot="1" x14ac:dyDescent="0.25">
      <c r="A20" s="70" t="s">
        <v>8</v>
      </c>
      <c r="B20" s="69"/>
      <c r="C20" s="55">
        <v>91.806402592871336</v>
      </c>
      <c r="D20" s="32">
        <v>91.000000000000014</v>
      </c>
      <c r="E20" s="32">
        <v>89.899705014749259</v>
      </c>
      <c r="F20" s="32">
        <v>87.81909301406877</v>
      </c>
      <c r="G20" s="32">
        <v>85.468643039011297</v>
      </c>
      <c r="H20" s="32">
        <v>70.467985593877685</v>
      </c>
      <c r="I20" s="33">
        <v>45.777178003269917</v>
      </c>
      <c r="J20" s="41" cm="1">
        <f t="array" ref="J20">-SUMPRODUCT((D1:H1-C1:G1)*(C20:G20+D20:H20)/2)</f>
        <v>79.696361488132837</v>
      </c>
      <c r="K20" s="41" cm="1">
        <f t="array" ref="K20">-SUMPRODUCT((D1:I1-C1:H1)*(C20:H20+D20:I20)/2)</f>
        <v>82.60249057806152</v>
      </c>
      <c r="L20" s="12" t="str">
        <f t="shared" si="2"/>
        <v xml:space="preserve">    91.8064025928713, 91, 89.8997050147493, 87.8190930140688, 85.4686430390113, 70.4679855938777, 45.7771780032699,</v>
      </c>
      <c r="M20" s="65" t="s">
        <v>8</v>
      </c>
      <c r="N20" s="66"/>
      <c r="O20" s="55">
        <v>3.30162613426437</v>
      </c>
      <c r="P20" s="32">
        <v>2.7895411419086922</v>
      </c>
      <c r="Q20" s="32">
        <v>2.4165108199523742</v>
      </c>
      <c r="R20" s="32">
        <v>2.7123736733211721</v>
      </c>
      <c r="S20" s="32">
        <v>3.8014726287512541</v>
      </c>
      <c r="T20" s="32">
        <v>5.2299009938051402</v>
      </c>
      <c r="U20" s="33">
        <v>2.1746822737589162</v>
      </c>
      <c r="V20" s="12" t="str">
        <f t="shared" si="3"/>
        <v xml:space="preserve">    3.30162613426437, 2.78954114190869, 2.41651081995237, 2.71237367332117, 3.80147262875125, 5.22990099380514, 2.17468227375892,</v>
      </c>
    </row>
    <row r="21" spans="1:22" ht="15.75" customHeight="1" thickBot="1" x14ac:dyDescent="0.25">
      <c r="A21" s="65" t="s">
        <v>23</v>
      </c>
      <c r="B21" s="66"/>
      <c r="C21" s="55">
        <v>93.12979927738705</v>
      </c>
      <c r="D21" s="32">
        <v>92.072884136829316</v>
      </c>
      <c r="E21" s="32">
        <v>90.991179277790764</v>
      </c>
      <c r="F21" s="32">
        <v>86.488871010994899</v>
      </c>
      <c r="G21" s="32">
        <v>78.849479666779118</v>
      </c>
      <c r="H21" s="32">
        <v>59.403051352808703</v>
      </c>
      <c r="I21" s="33">
        <v>48.981470427944863</v>
      </c>
      <c r="J21" s="41" cm="1">
        <f t="array" ref="J21">-SUMPRODUCT((D1:H1-C1:G1)*(C21:G21+D21:H21)/2)</f>
        <v>78.960892467351215</v>
      </c>
      <c r="K21" s="41" cm="1">
        <f t="array" ref="K21">-SUMPRODUCT((D1:I1-C1:H1)*(C21:H21+D21:I21)/2)</f>
        <v>81.670505511870061</v>
      </c>
      <c r="L21" s="12" t="str">
        <f t="shared" si="2"/>
        <v xml:space="preserve">    93.1297992773871, 92.0728841368293, 90.9911792777908, 86.4888710109949, 78.8494796667791, 59.4030513528087, 48.9814704279449,</v>
      </c>
      <c r="M21" s="65" t="s">
        <v>23</v>
      </c>
      <c r="N21" s="66"/>
      <c r="O21" s="55">
        <v>3.720535922449947</v>
      </c>
      <c r="P21" s="32">
        <v>4.0622972018703303</v>
      </c>
      <c r="Q21" s="32">
        <v>3.8973921609932098</v>
      </c>
      <c r="R21" s="32">
        <v>4.4056182294833066</v>
      </c>
      <c r="S21" s="32">
        <v>6.8043189964443149</v>
      </c>
      <c r="T21" s="32">
        <v>10.63228683456753</v>
      </c>
      <c r="U21" s="33">
        <v>8.6293638993197188</v>
      </c>
      <c r="V21" s="12" t="str">
        <f t="shared" si="3"/>
        <v xml:space="preserve">    3.72053592244995, 4.06229720187033, 3.89739216099321, 4.40561822948331, 6.80431899644431, 10.6322868345675, 8.62936389931972,</v>
      </c>
    </row>
    <row r="22" spans="1:22" ht="15.75" customHeight="1" thickBot="1" x14ac:dyDescent="0.25">
      <c r="A22" s="65" t="s">
        <v>24</v>
      </c>
      <c r="B22" s="66"/>
      <c r="C22" s="55">
        <v>93.29405963719411</v>
      </c>
      <c r="D22" s="32">
        <v>91.739729582435828</v>
      </c>
      <c r="E22" s="32">
        <v>90.005885287358296</v>
      </c>
      <c r="F22" s="32">
        <v>84.180898335337389</v>
      </c>
      <c r="G22" s="32">
        <v>76.342811500676177</v>
      </c>
      <c r="H22" s="32">
        <v>59.562899909745468</v>
      </c>
      <c r="I22" s="33">
        <v>48.344573338293003</v>
      </c>
      <c r="J22" s="41" cm="1">
        <f t="array" ref="J22">-SUMPRODUCT((D1:H1-C1:G1)*(C22:G22+D22:H22)/2)</f>
        <v>78.087574935769339</v>
      </c>
      <c r="K22" s="41" cm="1">
        <f t="array" ref="K22">-SUMPRODUCT((D1:I1-C1:H1)*(C22:H22+D22:I22)/2)</f>
        <v>80.785261766970308</v>
      </c>
      <c r="L22" s="12"/>
      <c r="M22" s="65" t="s">
        <v>24</v>
      </c>
      <c r="N22" s="66"/>
      <c r="O22" s="55">
        <v>3.5976530252225301</v>
      </c>
      <c r="P22" s="32">
        <v>4.5356023728221411</v>
      </c>
      <c r="Q22" s="32">
        <v>4.6296560466546204</v>
      </c>
      <c r="R22" s="32">
        <v>5.2864726273441152</v>
      </c>
      <c r="S22" s="32">
        <v>8.2846675717539657</v>
      </c>
      <c r="T22" s="32">
        <v>10.25067270866937</v>
      </c>
      <c r="U22" s="33">
        <v>9.5941688433330885</v>
      </c>
      <c r="V22" s="12"/>
    </row>
    <row r="23" spans="1:22" ht="15" thickBo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M23" s="31"/>
      <c r="N23" s="31"/>
      <c r="O23" s="31"/>
      <c r="P23" s="31"/>
      <c r="Q23" s="31"/>
      <c r="R23" s="31"/>
      <c r="S23" s="31"/>
      <c r="T23" s="31"/>
      <c r="U23" s="31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59" t="s">
        <v>5</v>
      </c>
      <c r="B25" s="60"/>
      <c r="C25" s="47">
        <v>92.567111769713335</v>
      </c>
      <c r="D25" s="47">
        <v>90.835858608343599</v>
      </c>
      <c r="E25" s="47">
        <v>89.217505339533233</v>
      </c>
      <c r="F25" s="47">
        <v>83.237245964288078</v>
      </c>
      <c r="G25" s="47">
        <v>75.380430844191011</v>
      </c>
      <c r="H25" s="47">
        <v>58.994367187597383</v>
      </c>
      <c r="I25" s="48">
        <v>43.622535641382179</v>
      </c>
      <c r="J25" s="50"/>
      <c r="K25" s="50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59" t="s">
        <v>5</v>
      </c>
      <c r="N25" s="60"/>
      <c r="O25" s="46">
        <v>3.88093621561358</v>
      </c>
      <c r="P25" s="47">
        <v>4.8164746829677396</v>
      </c>
      <c r="Q25" s="47">
        <v>5.2250608386616522</v>
      </c>
      <c r="R25" s="47">
        <v>5.6675721086724113</v>
      </c>
      <c r="S25" s="47">
        <v>8.3263283482936075</v>
      </c>
      <c r="T25" s="47">
        <v>10.49020927094638</v>
      </c>
      <c r="U25" s="48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59" t="s">
        <v>6</v>
      </c>
      <c r="B26" s="60"/>
      <c r="C26" s="47">
        <v>92.866950218042462</v>
      </c>
      <c r="D26" s="47">
        <v>91.242690764745561</v>
      </c>
      <c r="E26" s="47">
        <v>90.137053227698445</v>
      </c>
      <c r="F26" s="47">
        <v>86.080152926613408</v>
      </c>
      <c r="G26" s="47">
        <v>77.410217255196784</v>
      </c>
      <c r="H26" s="47">
        <v>59.676194764980139</v>
      </c>
      <c r="I26" s="48">
        <v>46.395490419404197</v>
      </c>
      <c r="J26" s="50"/>
      <c r="K26" s="50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59" t="s">
        <v>6</v>
      </c>
      <c r="N26" s="60"/>
      <c r="O26" s="47">
        <v>3.8319643020864191</v>
      </c>
      <c r="P26" s="47">
        <v>4.3603246705255447</v>
      </c>
      <c r="Q26" s="47">
        <v>4.7987735191879262</v>
      </c>
      <c r="R26" s="47">
        <v>5.1262965367330251</v>
      </c>
      <c r="S26" s="47">
        <v>7.087258799823358</v>
      </c>
      <c r="T26" s="47">
        <v>9.7457736576346736</v>
      </c>
      <c r="U26" s="48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59" t="s">
        <v>10</v>
      </c>
      <c r="B27" s="60"/>
      <c r="C27" s="34">
        <v>87.268396410214976</v>
      </c>
      <c r="D27" s="35">
        <v>87.256428398686779</v>
      </c>
      <c r="E27" s="35">
        <v>87.822106304170404</v>
      </c>
      <c r="F27" s="35">
        <v>87.68072644235157</v>
      </c>
      <c r="G27" s="35">
        <v>87.144879367185226</v>
      </c>
      <c r="H27" s="35">
        <v>74.976567886515753</v>
      </c>
      <c r="I27" s="36">
        <v>46.41754739488244</v>
      </c>
      <c r="J27" s="50"/>
      <c r="K27" s="50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59" t="s">
        <v>10</v>
      </c>
      <c r="N27" s="60"/>
      <c r="O27" s="34">
        <v>2.610595868561878</v>
      </c>
      <c r="P27" s="35">
        <v>2.3209805270224559</v>
      </c>
      <c r="Q27" s="35">
        <v>2.4426244152699921</v>
      </c>
      <c r="R27" s="35">
        <v>2.2821255442986761</v>
      </c>
      <c r="S27" s="35">
        <v>2.523131741400912</v>
      </c>
      <c r="T27" s="35">
        <v>3.7626100419371111</v>
      </c>
      <c r="U27" s="36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59" t="s">
        <v>14</v>
      </c>
      <c r="B28" s="63"/>
      <c r="C28" s="63"/>
      <c r="D28" s="63"/>
      <c r="E28" s="63"/>
      <c r="F28" s="63"/>
      <c r="G28" s="63"/>
      <c r="H28" s="63"/>
      <c r="I28" s="60"/>
      <c r="J28" s="50"/>
      <c r="K28" s="50"/>
      <c r="L28" s="1"/>
      <c r="M28" s="59" t="s">
        <v>14</v>
      </c>
      <c r="N28" s="63"/>
      <c r="O28" s="63"/>
      <c r="P28" s="63"/>
      <c r="Q28" s="63"/>
      <c r="R28" s="63"/>
      <c r="S28" s="63"/>
      <c r="T28" s="63"/>
      <c r="U28" s="60"/>
      <c r="V28" s="1"/>
    </row>
    <row r="29" spans="1:22" ht="15.75" thickBot="1" x14ac:dyDescent="0.25">
      <c r="A29" s="14" t="s">
        <v>12</v>
      </c>
      <c r="B29" s="9" t="s">
        <v>15</v>
      </c>
      <c r="C29" s="28">
        <v>92.718331539365238</v>
      </c>
      <c r="D29" s="29">
        <v>92.140084144598461</v>
      </c>
      <c r="E29" s="29">
        <v>91.379904797106931</v>
      </c>
      <c r="F29" s="29">
        <v>88.378075938007726</v>
      </c>
      <c r="G29" s="29">
        <v>84.574966803458963</v>
      </c>
      <c r="H29" s="29">
        <v>64.524084468318208</v>
      </c>
      <c r="I29" s="30">
        <v>53.783251685995403</v>
      </c>
      <c r="J29" s="50"/>
      <c r="K29" s="50"/>
      <c r="L29" s="1" t="str">
        <f t="shared" si="5"/>
        <v xml:space="preserve">    92.7183315393652, 92.1400841445985, 91.3799047971069, 88.3780759380077, 84.574966803459, 64.5240844683182, 53.7832516859954,</v>
      </c>
      <c r="M29" s="14" t="s">
        <v>12</v>
      </c>
      <c r="N29" s="9" t="s">
        <v>15</v>
      </c>
      <c r="O29" s="28">
        <v>3.7093306081953399</v>
      </c>
      <c r="P29" s="29">
        <v>3.557353374868756</v>
      </c>
      <c r="Q29" s="29">
        <v>3.8505126265401719</v>
      </c>
      <c r="R29" s="29">
        <v>4.6860631563763482</v>
      </c>
      <c r="S29" s="29">
        <v>5.2335990268297223</v>
      </c>
      <c r="T29" s="29">
        <v>8.5303914956588702</v>
      </c>
      <c r="U29" s="30">
        <v>9.1099237449071975</v>
      </c>
      <c r="V29" s="1" t="str">
        <f t="shared" si="4"/>
        <v xml:space="preserve">    3.70933060819534, 3.55735337486876, 3.85051262654017, 4.68606315637635, 5.23359902682972, 8.53039149565887, 9.1099237449072,</v>
      </c>
    </row>
    <row r="30" spans="1:22" ht="15.75" thickBot="1" x14ac:dyDescent="0.25">
      <c r="A30" s="14" t="s">
        <v>13</v>
      </c>
      <c r="B30" s="9" t="s">
        <v>16</v>
      </c>
      <c r="C30" s="49">
        <v>92.111918497964766</v>
      </c>
      <c r="D30" s="50">
        <v>92.236437130021557</v>
      </c>
      <c r="E30" s="50">
        <v>91.847628837606763</v>
      </c>
      <c r="F30" s="50">
        <v>91.031961472589515</v>
      </c>
      <c r="G30" s="50">
        <v>87.968996103656281</v>
      </c>
      <c r="H30" s="50">
        <v>70.680435455032196</v>
      </c>
      <c r="I30" s="51">
        <v>51.144510191286152</v>
      </c>
      <c r="J30" s="50"/>
      <c r="K30" s="50"/>
      <c r="L30" s="1" t="str">
        <f t="shared" si="5"/>
        <v xml:space="preserve">    92.1119184979648, 92.2364371300216, 91.8476288376068, 91.0319614725895, 87.9689961036563, 70.6804354550322, 51.1445101912862,</v>
      </c>
      <c r="M30" s="14" t="s">
        <v>13</v>
      </c>
      <c r="N30" s="9" t="s">
        <v>16</v>
      </c>
      <c r="O30" s="49">
        <v>3.5860589390986259</v>
      </c>
      <c r="P30" s="50">
        <v>3.5458492835339008</v>
      </c>
      <c r="Q30" s="50">
        <v>3.3222516092178069</v>
      </c>
      <c r="R30" s="50">
        <v>3.385168684859547</v>
      </c>
      <c r="S30" s="50">
        <v>3.8142946105661402</v>
      </c>
      <c r="T30" s="50">
        <v>5.9054798361883787</v>
      </c>
      <c r="U30" s="51">
        <v>6.303799515839513</v>
      </c>
      <c r="V30" s="1" t="str">
        <f t="shared" si="4"/>
        <v xml:space="preserve">    3.58605893909863, 3.5458492835339, 3.32225160921781, 3.38516868485955, 3.81429461056614, 5.90547983618838, 6.30379951583951,</v>
      </c>
    </row>
    <row r="31" spans="1:22" ht="15.75" thickBot="1" x14ac:dyDescent="0.25">
      <c r="A31" s="14" t="s">
        <v>12</v>
      </c>
      <c r="B31" s="9" t="s">
        <v>19</v>
      </c>
      <c r="C31" s="47">
        <v>92.825943579912774</v>
      </c>
      <c r="D31" s="47">
        <v>92.155443041619591</v>
      </c>
      <c r="E31" s="47">
        <v>90.757710215515047</v>
      </c>
      <c r="F31" s="47">
        <v>86.103066347316471</v>
      </c>
      <c r="G31" s="47">
        <v>78.832060707290182</v>
      </c>
      <c r="H31" s="47">
        <v>57.474188345490397</v>
      </c>
      <c r="I31" s="48">
        <v>41.050623769761458</v>
      </c>
      <c r="J31" s="50"/>
      <c r="K31" s="50"/>
      <c r="L31" s="1"/>
      <c r="M31" s="14" t="s">
        <v>12</v>
      </c>
      <c r="N31" s="9" t="s">
        <v>19</v>
      </c>
      <c r="O31" s="47">
        <v>3.8019394848570141</v>
      </c>
      <c r="P31" s="47">
        <v>3.575586565560668</v>
      </c>
      <c r="Q31" s="47">
        <v>3.823963538753008</v>
      </c>
      <c r="R31" s="47">
        <v>5.1791780366569888</v>
      </c>
      <c r="S31" s="47">
        <v>7.1631576731781328</v>
      </c>
      <c r="T31" s="47">
        <v>10.59398505131753</v>
      </c>
      <c r="U31" s="48">
        <v>10.09437645234315</v>
      </c>
      <c r="V31" s="1"/>
    </row>
    <row r="32" spans="1:22" ht="15.75" thickBot="1" x14ac:dyDescent="0.25">
      <c r="A32" s="14" t="s">
        <v>12</v>
      </c>
      <c r="B32" s="9" t="s">
        <v>20</v>
      </c>
      <c r="C32" s="34">
        <v>93.041122751220755</v>
      </c>
      <c r="D32" s="35">
        <v>91.860409028861255</v>
      </c>
      <c r="E32" s="35">
        <v>90.078455478721949</v>
      </c>
      <c r="F32" s="35">
        <v>86.392751389335601</v>
      </c>
      <c r="G32" s="35">
        <v>75.019539414722558</v>
      </c>
      <c r="H32" s="35">
        <v>56.592631108340719</v>
      </c>
      <c r="I32" s="36">
        <v>43.843975581234297</v>
      </c>
      <c r="J32" s="50"/>
      <c r="K32" s="50"/>
      <c r="L32" s="1"/>
      <c r="M32" s="14" t="s">
        <v>12</v>
      </c>
      <c r="N32" s="9" t="s">
        <v>20</v>
      </c>
      <c r="O32" s="34">
        <v>3.8448027846295161</v>
      </c>
      <c r="P32" s="35">
        <v>4.3320041409026686</v>
      </c>
      <c r="Q32" s="35">
        <v>4.4538172465866941</v>
      </c>
      <c r="R32" s="35">
        <v>4.3073898502712948</v>
      </c>
      <c r="S32" s="35">
        <v>9.9239732988158718</v>
      </c>
      <c r="T32" s="35">
        <v>11.463911844631459</v>
      </c>
      <c r="U32" s="36">
        <v>10.663674571971409</v>
      </c>
      <c r="V32" s="1"/>
    </row>
    <row r="33" spans="1:22" ht="15.75" thickBot="1" x14ac:dyDescent="0.25">
      <c r="A33" s="14" t="s">
        <v>12</v>
      </c>
      <c r="B33" s="9" t="s">
        <v>17</v>
      </c>
      <c r="C33" s="34">
        <v>92.68357207739561</v>
      </c>
      <c r="D33" s="35">
        <v>91.723989054076753</v>
      </c>
      <c r="E33" s="35">
        <v>90.643879177716514</v>
      </c>
      <c r="F33" s="35">
        <v>87.700045335658899</v>
      </c>
      <c r="G33" s="35">
        <v>81.238224301247357</v>
      </c>
      <c r="H33" s="35">
        <v>60.242672309064993</v>
      </c>
      <c r="I33" s="36">
        <v>47.896022751757073</v>
      </c>
      <c r="J33" s="50"/>
      <c r="K33" s="50"/>
      <c r="L33" s="1" t="str">
        <f t="shared" si="5"/>
        <v xml:space="preserve">    92.6835720773956, 91.7239890540768, 90.6438791777165, 87.7000453356589, 81.2382243012474, 60.242672309065, 47.8960227517571,</v>
      </c>
      <c r="M33" s="14" t="s">
        <v>12</v>
      </c>
      <c r="N33" s="9" t="s">
        <v>17</v>
      </c>
      <c r="O33" s="34">
        <v>4.2575085387426066</v>
      </c>
      <c r="P33" s="35">
        <v>4.1044928297974694</v>
      </c>
      <c r="Q33" s="35">
        <v>4.224361853279194</v>
      </c>
      <c r="R33" s="35">
        <v>4.246956163355768</v>
      </c>
      <c r="S33" s="35">
        <v>5.4782720237935472</v>
      </c>
      <c r="T33" s="35">
        <v>9.9625588159654015</v>
      </c>
      <c r="U33" s="36">
        <v>8.9073404575096671</v>
      </c>
      <c r="V33" s="1"/>
    </row>
    <row r="34" spans="1:22" ht="15.75" thickBot="1" x14ac:dyDescent="0.25">
      <c r="A34" s="14" t="s">
        <v>11</v>
      </c>
      <c r="B34" s="9" t="s">
        <v>21</v>
      </c>
      <c r="C34" s="52"/>
      <c r="D34" s="53"/>
      <c r="E34" s="53"/>
      <c r="F34" s="53"/>
      <c r="G34" s="53"/>
      <c r="H34" s="53"/>
      <c r="I34" s="54"/>
      <c r="J34" s="50"/>
      <c r="K34" s="50"/>
      <c r="L34" s="1"/>
      <c r="M34" s="14" t="s">
        <v>11</v>
      </c>
      <c r="N34" s="9" t="s">
        <v>21</v>
      </c>
      <c r="O34" s="52"/>
      <c r="P34" s="53"/>
      <c r="Q34" s="53"/>
      <c r="R34" s="53"/>
      <c r="S34" s="53"/>
      <c r="T34" s="53"/>
      <c r="U34" s="54"/>
      <c r="V34" s="1"/>
    </row>
    <row r="35" spans="1:22" ht="15.75" thickBot="1" x14ac:dyDescent="0.25">
      <c r="A35" s="14" t="s">
        <v>11</v>
      </c>
      <c r="B35" s="9" t="s">
        <v>18</v>
      </c>
      <c r="C35" s="52"/>
      <c r="D35" s="53"/>
      <c r="E35" s="53"/>
      <c r="F35" s="53"/>
      <c r="G35" s="53"/>
      <c r="H35" s="53"/>
      <c r="I35" s="54"/>
      <c r="J35" s="50"/>
      <c r="K35" s="50"/>
      <c r="L35" s="1" t="str">
        <f t="shared" si="5"/>
        <v xml:space="preserve">    ,</v>
      </c>
      <c r="M35" s="56" t="s">
        <v>11</v>
      </c>
      <c r="N35" s="9" t="s">
        <v>18</v>
      </c>
      <c r="O35" s="52"/>
      <c r="P35" s="53"/>
      <c r="Q35" s="53"/>
      <c r="R35" s="53"/>
      <c r="S35" s="53"/>
      <c r="T35" s="53"/>
      <c r="U35" s="54"/>
      <c r="V35" s="1"/>
    </row>
    <row r="36" spans="1:22" ht="15.75" thickBot="1" x14ac:dyDescent="0.25">
      <c r="A36" s="59" t="s">
        <v>22</v>
      </c>
      <c r="B36" s="63"/>
      <c r="C36" s="63"/>
      <c r="D36" s="63"/>
      <c r="E36" s="63"/>
      <c r="F36" s="63"/>
      <c r="G36" s="63"/>
      <c r="H36" s="63"/>
      <c r="I36" s="60"/>
      <c r="J36" s="50"/>
      <c r="K36" s="50"/>
      <c r="L36" s="1"/>
      <c r="M36" s="59" t="s">
        <v>22</v>
      </c>
      <c r="N36" s="63"/>
      <c r="O36" s="63"/>
      <c r="P36" s="63"/>
      <c r="Q36" s="63"/>
      <c r="R36" s="63"/>
      <c r="S36" s="63"/>
      <c r="T36" s="63"/>
      <c r="U36" s="60"/>
      <c r="V36" s="1"/>
    </row>
    <row r="37" spans="1:22" ht="14.25" customHeight="1" thickBot="1" x14ac:dyDescent="0.25">
      <c r="A37" s="59" t="s">
        <v>7</v>
      </c>
      <c r="B37" s="60"/>
      <c r="C37" s="34">
        <v>92.868050634154315</v>
      </c>
      <c r="D37" s="35">
        <v>92.288231222045297</v>
      </c>
      <c r="E37" s="35">
        <v>91.054287148035144</v>
      </c>
      <c r="F37" s="35">
        <v>84.437885333085376</v>
      </c>
      <c r="G37" s="35">
        <v>74.253673383599548</v>
      </c>
      <c r="H37" s="35">
        <v>57.552195558991649</v>
      </c>
      <c r="I37" s="36">
        <v>45.560977654736433</v>
      </c>
      <c r="J37" s="50"/>
      <c r="K37" s="50"/>
      <c r="L37" s="1" t="str">
        <f t="shared" ref="L37:L39" si="6">"    "&amp;_xlfn.TEXTJOIN(", ",TRUE,C37:I37)&amp;","</f>
        <v xml:space="preserve">    92.8680506341543, 92.2882312220453, 91.0542871480351, 84.4378853330854, 74.2536733835995, 57.5521955589916, 45.5609776547364,</v>
      </c>
      <c r="M37" s="59" t="s">
        <v>7</v>
      </c>
      <c r="N37" s="60"/>
      <c r="O37" s="34">
        <v>4.0949495507503526</v>
      </c>
      <c r="P37" s="35">
        <v>4.4354851591423481</v>
      </c>
      <c r="Q37" s="35">
        <v>4.6437372111598876</v>
      </c>
      <c r="R37" s="35">
        <v>5.0311660763107948</v>
      </c>
      <c r="S37" s="35">
        <v>9.8512038160577102</v>
      </c>
      <c r="T37" s="35">
        <v>11.57485796488027</v>
      </c>
      <c r="U37" s="36">
        <v>10.571075661324681</v>
      </c>
      <c r="V37" s="1" t="str">
        <f t="shared" si="4"/>
        <v xml:space="preserve">    4.09494955075035, 4.43548515914235, 4.64373721115989, 5.03116607631079, 9.85120381605771, 11.5748579648803, 10.5710756613247,</v>
      </c>
    </row>
    <row r="38" spans="1:22" ht="15.75" thickBot="1" x14ac:dyDescent="0.25">
      <c r="A38" s="59" t="s">
        <v>8</v>
      </c>
      <c r="B38" s="60"/>
      <c r="C38" s="34">
        <v>92.513598322189821</v>
      </c>
      <c r="D38" s="35">
        <v>91.261446870594469</v>
      </c>
      <c r="E38" s="35">
        <v>89.758265941661861</v>
      </c>
      <c r="F38" s="35">
        <v>85.044465656129674</v>
      </c>
      <c r="G38" s="35">
        <v>75.898843968080286</v>
      </c>
      <c r="H38" s="35">
        <v>59.465611837116732</v>
      </c>
      <c r="I38" s="36">
        <v>48.473156490254198</v>
      </c>
      <c r="J38" s="50"/>
      <c r="K38" s="50"/>
      <c r="L38" s="1" t="str">
        <f t="shared" si="6"/>
        <v xml:space="preserve">    92.5135983221898, 91.2614468705945, 89.7582659416619, 85.0444656561297, 75.8988439680803, 59.4656118371167, 48.4731564902542,</v>
      </c>
      <c r="M38" s="59" t="s">
        <v>8</v>
      </c>
      <c r="N38" s="60"/>
      <c r="O38" s="34">
        <v>4.2171731523020446</v>
      </c>
      <c r="P38" s="35">
        <v>4.6702984752282681</v>
      </c>
      <c r="Q38" s="35">
        <v>5.0608860361047316</v>
      </c>
      <c r="R38" s="35">
        <v>5.9068575059271318</v>
      </c>
      <c r="S38" s="35">
        <v>8.5966909141817851</v>
      </c>
      <c r="T38" s="35">
        <v>10.771320326074211</v>
      </c>
      <c r="U38" s="36">
        <v>10.23603152809228</v>
      </c>
      <c r="V38" s="1" t="str">
        <f t="shared" si="4"/>
        <v xml:space="preserve">    4.21717315230204, 4.67029847522827, 5.06088603610473, 5.90685750592713, 8.59669091418179, 10.7713203260742, 10.2360315280923,</v>
      </c>
    </row>
    <row r="39" spans="1:22" ht="15.75" thickBot="1" x14ac:dyDescent="0.25">
      <c r="A39" s="59" t="s">
        <v>23</v>
      </c>
      <c r="B39" s="60"/>
      <c r="C39" s="52">
        <v>92.570176373736686</v>
      </c>
      <c r="D39" s="53">
        <v>91.035116753825534</v>
      </c>
      <c r="E39" s="53">
        <v>89.995984735900805</v>
      </c>
      <c r="F39" s="53">
        <v>86.101239818995751</v>
      </c>
      <c r="G39" s="53">
        <v>77.099560389949318</v>
      </c>
      <c r="H39" s="53">
        <v>57.996429145301242</v>
      </c>
      <c r="I39" s="54">
        <v>44.399943110932981</v>
      </c>
      <c r="J39" s="50"/>
      <c r="K39" s="50"/>
      <c r="L39" s="1" t="str">
        <f t="shared" si="6"/>
        <v xml:space="preserve">    92.5701763737367, 91.0351167538255, 89.9959847359008, 86.1012398189958, 77.0995603899493, 57.9964291453012, 44.399943110933,</v>
      </c>
      <c r="M39" s="59" t="s">
        <v>23</v>
      </c>
      <c r="N39" s="60"/>
      <c r="O39" s="52">
        <v>3.882028195540002</v>
      </c>
      <c r="P39" s="53">
        <v>4.4292663319519576</v>
      </c>
      <c r="Q39" s="53">
        <v>5.1354581403320241</v>
      </c>
      <c r="R39" s="53">
        <v>5.8685355921558013</v>
      </c>
      <c r="S39" s="53">
        <v>8.0663639251543504</v>
      </c>
      <c r="T39" s="53">
        <v>9.5110854192429173</v>
      </c>
      <c r="U39" s="54">
        <v>8.058131505188614</v>
      </c>
      <c r="V39" s="1" t="str">
        <f t="shared" si="4"/>
        <v xml:space="preserve">    3.88202819554, 4.42926633195196, 5.13545814033202, 5.8685355921558, 8.06636392515435, 9.51108541924292, 8.05813150518861,</v>
      </c>
    </row>
    <row r="40" spans="1:22" ht="15.75" thickBot="1" x14ac:dyDescent="0.25">
      <c r="A40" s="59" t="s">
        <v>24</v>
      </c>
      <c r="B40" s="60"/>
      <c r="C40" s="34">
        <v>92.515649858336417</v>
      </c>
      <c r="D40" s="35">
        <v>90.633837177608882</v>
      </c>
      <c r="E40" s="35">
        <v>89.218749027706451</v>
      </c>
      <c r="F40" s="35">
        <v>83.159104859904048</v>
      </c>
      <c r="G40" s="35">
        <v>75.205406346603183</v>
      </c>
      <c r="H40" s="35">
        <v>58.328595951322271</v>
      </c>
      <c r="I40" s="36">
        <v>44.663256049071087</v>
      </c>
      <c r="J40" s="58"/>
      <c r="K40" s="58"/>
      <c r="L40" s="57"/>
      <c r="M40" s="59" t="s">
        <v>24</v>
      </c>
      <c r="N40" s="60"/>
      <c r="O40" s="34">
        <v>4.2818937520906779</v>
      </c>
      <c r="P40" s="35">
        <v>5.0215820890726173</v>
      </c>
      <c r="Q40" s="35">
        <v>5.2048209810817641</v>
      </c>
      <c r="R40" s="35">
        <v>6.0125954692045056</v>
      </c>
      <c r="S40" s="35">
        <v>8.4472284006849367</v>
      </c>
      <c r="T40" s="35">
        <v>11.323085110814951</v>
      </c>
      <c r="U40" s="36">
        <v>10.33126321411414</v>
      </c>
      <c r="V40" s="1"/>
    </row>
    <row r="41" spans="1:22" ht="15.75" customHeight="1" thickBot="1" x14ac:dyDescent="0.25">
      <c r="A41" s="59" t="s">
        <v>25</v>
      </c>
      <c r="B41" s="63"/>
      <c r="C41" s="64"/>
      <c r="D41" s="64"/>
      <c r="E41" s="64"/>
      <c r="F41" s="64"/>
      <c r="G41" s="64"/>
      <c r="H41" s="64"/>
      <c r="I41" s="62"/>
      <c r="J41" s="50"/>
      <c r="K41" s="50"/>
      <c r="L41" s="1"/>
      <c r="M41" s="59" t="s">
        <v>25</v>
      </c>
      <c r="N41" s="63"/>
      <c r="O41" s="64"/>
      <c r="P41" s="64"/>
      <c r="Q41" s="64"/>
      <c r="R41" s="64"/>
      <c r="S41" s="64"/>
      <c r="T41" s="64"/>
      <c r="U41" s="62"/>
      <c r="V41" s="1"/>
    </row>
    <row r="42" spans="1:22" ht="15.75" customHeight="1" thickBot="1" x14ac:dyDescent="0.25">
      <c r="A42" s="59" t="s">
        <v>7</v>
      </c>
      <c r="B42" s="60"/>
      <c r="C42" s="34">
        <v>91.365503103283018</v>
      </c>
      <c r="D42" s="35">
        <v>90.485891056064375</v>
      </c>
      <c r="E42" s="35">
        <v>89.568582528718636</v>
      </c>
      <c r="F42" s="35">
        <v>87.35503422782692</v>
      </c>
      <c r="G42" s="35">
        <v>83.775802183320806</v>
      </c>
      <c r="H42" s="35">
        <v>59.664242373274107</v>
      </c>
      <c r="I42" s="36">
        <v>38.734493305012087</v>
      </c>
      <c r="J42" s="50"/>
      <c r="K42" s="50"/>
      <c r="L42" s="1" t="str">
        <f t="shared" ref="L42:L44" si="7">"    "&amp;_xlfn.TEXTJOIN(", ",TRUE,C42:I42)&amp;","</f>
        <v xml:space="preserve">    91.365503103283, 90.4858910560644, 89.5685825287186, 87.3550342278269, 83.7758021833208, 59.6642423732741, 38.7344933050121,</v>
      </c>
      <c r="M42" s="59" t="s">
        <v>7</v>
      </c>
      <c r="N42" s="60"/>
      <c r="O42" s="34">
        <v>3.8096312747348571</v>
      </c>
      <c r="P42" s="35">
        <v>3.3823322749479061</v>
      </c>
      <c r="Q42" s="35">
        <v>3.1901414384399041</v>
      </c>
      <c r="R42" s="35">
        <v>3.435608860758363</v>
      </c>
      <c r="S42" s="35">
        <v>3.9801135842717961</v>
      </c>
      <c r="T42" s="35">
        <v>7.4065519031840097</v>
      </c>
      <c r="U42" s="36">
        <v>4.3412957141341879</v>
      </c>
      <c r="V42" s="1" t="str">
        <f t="shared" ref="V42:V44" si="8">"    "&amp;_xlfn.TEXTJOIN(", ",TRUE,O42:U42)&amp;","</f>
        <v xml:space="preserve">    3.80963127473486, 3.38233227494791, 3.1901414384399, 3.43560886075836, 3.9801135842718, 7.40655190318401, 4.34129571413419,</v>
      </c>
    </row>
    <row r="43" spans="1:22" ht="15.75" customHeight="1" thickBot="1" x14ac:dyDescent="0.25">
      <c r="A43" s="61" t="s">
        <v>8</v>
      </c>
      <c r="B43" s="62"/>
      <c r="C43" s="34">
        <v>91.352017689458577</v>
      </c>
      <c r="D43" s="35">
        <v>90.612646908845178</v>
      </c>
      <c r="E43" s="35">
        <v>89.673109045448143</v>
      </c>
      <c r="F43" s="35">
        <v>87.570648852891097</v>
      </c>
      <c r="G43" s="35">
        <v>85.153610116106222</v>
      </c>
      <c r="H43" s="35">
        <v>70.154101376724071</v>
      </c>
      <c r="I43" s="36">
        <v>44.255354014211143</v>
      </c>
      <c r="J43" s="50"/>
      <c r="K43" s="50"/>
      <c r="L43" s="1" t="str">
        <f t="shared" si="7"/>
        <v xml:space="preserve">    91.3520176894586, 90.6126469088452, 89.6731090454481, 87.5706488528911, 85.1536101161062, 70.1541013767241, 44.2553540142111,</v>
      </c>
      <c r="M43" s="59" t="s">
        <v>8</v>
      </c>
      <c r="N43" s="60"/>
      <c r="O43" s="34">
        <v>3.6410788132464011</v>
      </c>
      <c r="P43" s="35">
        <v>3.0474479281352909</v>
      </c>
      <c r="Q43" s="35">
        <v>2.5295084567057469</v>
      </c>
      <c r="R43" s="35">
        <v>2.7268738132327659</v>
      </c>
      <c r="S43" s="35">
        <v>4.0335194528578784</v>
      </c>
      <c r="T43" s="35">
        <v>5.245193605897664</v>
      </c>
      <c r="U43" s="36">
        <v>2.5110804834384211</v>
      </c>
      <c r="V43" s="1" t="str">
        <f t="shared" si="8"/>
        <v xml:space="preserve">    3.6410788132464, 3.04744792813529, 2.52950845670575, 2.72687381323277, 4.03351945285788, 5.24519360589766, 2.51108048343842,</v>
      </c>
    </row>
    <row r="44" spans="1:22" ht="15.75" customHeight="1" thickBot="1" x14ac:dyDescent="0.25">
      <c r="A44" s="59" t="s">
        <v>23</v>
      </c>
      <c r="B44" s="60"/>
      <c r="C44" s="34">
        <v>92.61946302134767</v>
      </c>
      <c r="D44" s="35">
        <v>91.641845498508658</v>
      </c>
      <c r="E44" s="35">
        <v>90.604490520989373</v>
      </c>
      <c r="F44" s="35">
        <v>86.028930620603035</v>
      </c>
      <c r="G44" s="35">
        <v>77.869547765340229</v>
      </c>
      <c r="H44" s="35">
        <v>58.066616072179237</v>
      </c>
      <c r="I44" s="36">
        <v>44.282072681774139</v>
      </c>
      <c r="J44" s="50"/>
      <c r="K44" s="50"/>
      <c r="L44" s="1" t="str">
        <f t="shared" si="7"/>
        <v xml:space="preserve">    92.6194630213477, 91.6418454985087, 90.6044905209894, 86.028930620603, 77.8695477653402, 58.0666160721792, 44.2820726817741,</v>
      </c>
      <c r="M44" s="59" t="s">
        <v>23</v>
      </c>
      <c r="N44" s="60"/>
      <c r="O44" s="34">
        <v>4.1202488894386304</v>
      </c>
      <c r="P44" s="35">
        <v>4.4587262447220368</v>
      </c>
      <c r="Q44" s="35">
        <v>4.1451701238630649</v>
      </c>
      <c r="R44" s="35">
        <v>4.7547668035033421</v>
      </c>
      <c r="S44" s="35">
        <v>7.3962800398529813</v>
      </c>
      <c r="T44" s="35">
        <v>11.13409225199972</v>
      </c>
      <c r="U44" s="36">
        <v>10.21410985821676</v>
      </c>
      <c r="V44" s="1" t="str">
        <f t="shared" si="8"/>
        <v xml:space="preserve">    4.12024888943863, 4.45872624472204, 4.14517012386306, 4.75476680350334, 7.39628003985298, 11.1340922519997, 10.2141098582168,</v>
      </c>
    </row>
    <row r="45" spans="1:22" ht="15.75" customHeight="1" thickBot="1" x14ac:dyDescent="0.25">
      <c r="A45" s="59" t="s">
        <v>24</v>
      </c>
      <c r="B45" s="60"/>
      <c r="C45" s="34">
        <v>92.836313492728166</v>
      </c>
      <c r="D45" s="35">
        <v>91.35902579070337</v>
      </c>
      <c r="E45" s="35">
        <v>89.600386013681359</v>
      </c>
      <c r="F45" s="35">
        <v>83.549429512462467</v>
      </c>
      <c r="G45" s="35">
        <v>75.443451304684089</v>
      </c>
      <c r="H45" s="35">
        <v>58.040988875657007</v>
      </c>
      <c r="I45" s="36">
        <v>44.45694317203499</v>
      </c>
      <c r="J45" s="50"/>
      <c r="K45" s="50"/>
      <c r="L45" s="1"/>
      <c r="M45" s="59" t="s">
        <v>24</v>
      </c>
      <c r="N45" s="60"/>
      <c r="O45" s="34">
        <v>4.0350169218649814</v>
      </c>
      <c r="P45" s="35">
        <v>4.8715238888136483</v>
      </c>
      <c r="Q45" s="35">
        <v>5.0114819755482234</v>
      </c>
      <c r="R45" s="35">
        <v>5.5418311462698613</v>
      </c>
      <c r="S45" s="35">
        <v>8.7209269933539382</v>
      </c>
      <c r="T45" s="35">
        <v>10.65690967583773</v>
      </c>
      <c r="U45" s="36">
        <v>11.553116561579911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36:I36"/>
    <mergeCell ref="M13:U13"/>
    <mergeCell ref="M36:U36"/>
    <mergeCell ref="A17:B17"/>
    <mergeCell ref="M16:N16"/>
    <mergeCell ref="M17:N17"/>
    <mergeCell ref="M5:U5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M18:U18"/>
    <mergeCell ref="A13:I13"/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</mergeCells>
  <phoneticPr fontId="1" type="noConversion"/>
  <conditionalFormatting sqref="C14:I16 C6:I7 C2:I4 C10:I12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2:I12">
    <cfRule type="colorScale" priority="1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12 C2:I4">
    <cfRule type="colorScale" priority="1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6:I12 C2:I4 C19:I22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6:K7 J5:K5 J8:K11 C12:K12 C14:K16 J13:K13 J22:K22 C19:K21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2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partialdata_20260407</vt:lpstr>
      <vt:lpstr>fullldata_20260407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2026-04-07T18:57:08Z</dcterms:modified>
</cp:coreProperties>
</file>