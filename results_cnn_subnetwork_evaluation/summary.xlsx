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cnn_subnetwork_evaluation\"/>
    </mc:Choice>
  </mc:AlternateContent>
  <xr:revisionPtr revIDLastSave="0" documentId="13_ncr:1_{1AFB12DF-A583-4AEC-AD58-C902FC721171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<sst xmlns="http://schemas.openxmlformats.org/spreadsheetml/2006/main" count="204" uniqueCount="26">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</sst>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0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0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59" t="s">
        <v>5</v>
      </c>
      <c r="B2" s="6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59" t="s">
        <v>5</v>
      </c>
      <c r="N2" s="60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9" t="s">
        <v>6</v>
      </c>
      <c r="B3" s="60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59" t="s">
        <v>6</v>
      </c>
      <c r="N3" s="60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59" t="s">
        <v>10</v>
      </c>
      <c r="B4" s="60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59" t="s">
        <v>10</v>
      </c>
      <c r="N4" s="60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59" t="s">
        <v>14</v>
      </c>
      <c r="B5" s="61"/>
      <c r="C5" s="61"/>
      <c r="D5" s="61"/>
      <c r="E5" s="61"/>
      <c r="F5" s="61"/>
      <c r="G5" s="61"/>
      <c r="H5" s="61"/>
      <c r="I5" s="60"/>
      <c r="J5" s="41"/>
      <c r="K5" s="41"/>
      <c r="L5" s="12"/>
      <c r="M5" s="59" t="s">
        <v>14</v>
      </c>
      <c r="N5" s="61"/>
      <c r="O5" s="61"/>
      <c r="P5" s="61"/>
      <c r="Q5" s="61"/>
      <c r="R5" s="61"/>
      <c r="S5" s="61"/>
      <c r="T5" s="61"/>
      <c r="U5" s="60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59" t="s">
        <v>22</v>
      </c>
      <c r="B8" s="61"/>
      <c r="C8" s="64"/>
      <c r="D8" s="64"/>
      <c r="E8" s="64"/>
      <c r="F8" s="64"/>
      <c r="G8" s="64"/>
      <c r="H8" s="64"/>
      <c r="I8" s="63"/>
      <c r="J8" s="41"/>
      <c r="K8" s="41"/>
      <c r="L8" s="12"/>
      <c r="M8" s="59" t="s">
        <v>22</v>
      </c>
      <c r="N8" s="61"/>
      <c r="O8" s="64"/>
      <c r="P8" s="64"/>
      <c r="Q8" s="64"/>
      <c r="R8" s="64"/>
      <c r="S8" s="64"/>
      <c r="T8" s="64"/>
      <c r="U8" s="63"/>
      <c r="V8" s="12"/>
    </row>
    <row r="9" spans="1:22" ht="15.75" customHeight="1" thickBot="1" x14ac:dyDescent="0.25">
      <c r="A9" s="59" t="s">
        <v>7</v>
      </c>
      <c r="B9" s="60"/>
      <c r="C9" s="37">
        <v>93.782740335124032</v>
      </c>
      <c r="D9" s="38">
        <v>91.948208894540599</v>
      </c>
      <c r="E9" s="38">
        <v>90.212980504444957</v>
      </c>
      <c r="F9" s="38">
        <v>84.630388959535409</v>
      </c>
      <c r="G9" s="38">
        <v>75.371093175546491</v>
      </c>
      <c r="H9" s="38">
        <v>59.627211308056303</v>
      </c>
      <c r="I9" s="39">
        <v>47.844185503334799</v>
      </c>
      <c r="J9" s="41" cm="1">
        <f t="array" ref="J9">-SUMPRODUCT((D1:H1-C1:G1)*(C9:G9+D9:H9)/2)</f>
        <v>78.220843605913544</v>
      </c>
      <c r="K9" s="41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59" t="s">
        <v>7</v>
      </c>
      <c r="N9" s="60"/>
      <c r="O9" s="37">
        <v>3.5391983918820551</v>
      </c>
      <c r="P9" s="38">
        <v>4.1060038651541966</v>
      </c>
      <c r="Q9" s="38">
        <v>4.774795806468676</v>
      </c>
      <c r="R9" s="38">
        <v>5.3483339064680431</v>
      </c>
      <c r="S9" s="38">
        <v>8.0994903921197494</v>
      </c>
      <c r="T9" s="38">
        <v>10.59987402205407</v>
      </c>
      <c r="U9" s="39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62" t="s">
        <v>8</v>
      </c>
      <c r="B10" s="63"/>
      <c r="C10" s="40">
        <v>93.226230330712227</v>
      </c>
      <c r="D10" s="93">
        <v>91.83329152212967</v>
      </c>
      <c r="E10" s="93">
        <v>90.325291164571794</v>
      </c>
      <c r="F10" s="93">
        <v>85.383492360083878</v>
      </c>
      <c r="G10" s="93">
        <v>76.567000291236639</v>
      </c>
      <c r="H10" s="93">
        <v>59.41454222499042</v>
      </c>
      <c r="I10" s="42">
        <v>50.563407411252108</v>
      </c>
      <c r="J10" s="41" cm="1">
        <f t="array" ref="J10">-SUMPRODUCT((D1:H1-C1:G1)*(C10:G10+D10:H10)/2)</f>
        <v>78.369743178285859</v>
      </c>
      <c r="K10" s="41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59" t="s">
        <v>8</v>
      </c>
      <c r="N10" s="60"/>
      <c r="O10" s="40">
        <v>3.945711842949601</v>
      </c>
      <c r="P10" s="93">
        <v>4.8525950161134093</v>
      </c>
      <c r="Q10" s="93">
        <v>4.4346894499148144</v>
      </c>
      <c r="R10" s="93">
        <v>5.4810029574676529</v>
      </c>
      <c r="S10" s="93">
        <v>8.4636725644600066</v>
      </c>
      <c r="T10" s="93">
        <v>10.788297692871961</v>
      </c>
      <c r="U10" s="42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59" t="s">
        <v>23</v>
      </c>
      <c r="B11" s="60"/>
      <c r="C11" s="40">
        <v>93.004922187908207</v>
      </c>
      <c r="D11" s="93">
        <v>91.518502178507859</v>
      </c>
      <c r="E11" s="93">
        <v>89.729420958082102</v>
      </c>
      <c r="F11" s="93">
        <v>83.348607398564567</v>
      </c>
      <c r="G11" s="93">
        <v>74.087719905304837</v>
      </c>
      <c r="H11" s="93">
        <v>57.917332041511322</v>
      </c>
      <c r="I11" s="42">
        <v>48.007794185070807</v>
      </c>
      <c r="J11" s="41" cm="1">
        <f t="array" ref="J11">-SUMPRODUCT((D1:H1-C1:G1)*(C11:G11+D11:H11)/2)</f>
        <v>77.501290236074709</v>
      </c>
      <c r="K11" s="41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59" t="s">
        <v>23</v>
      </c>
      <c r="N11" s="60"/>
      <c r="O11" s="40">
        <v>3.690401528555848</v>
      </c>
      <c r="P11" s="93">
        <v>4.2469367469027457</v>
      </c>
      <c r="Q11" s="93">
        <v>4.4611096369834957</v>
      </c>
      <c r="R11" s="93">
        <v>5.4089286426803449</v>
      </c>
      <c r="S11" s="93">
        <v>9.092124974067179</v>
      </c>
      <c r="T11" s="93">
        <v>10.83557708581068</v>
      </c>
      <c r="U11" s="42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59" t="s">
        <v>24</v>
      </c>
      <c r="B12" s="60"/>
      <c r="C12" s="43">
        <v>93.123279613145442</v>
      </c>
      <c r="D12" s="44">
        <v>91.674385879923975</v>
      </c>
      <c r="E12" s="44">
        <v>89.698688281617194</v>
      </c>
      <c r="F12" s="44">
        <v>84.957067102656595</v>
      </c>
      <c r="G12" s="44">
        <v>75.939082518014857</v>
      </c>
      <c r="H12" s="44">
        <v>59.995092229748238</v>
      </c>
      <c r="I12" s="45">
        <v>48.440303693515233</v>
      </c>
      <c r="J12" s="41" cm="1">
        <f t="array" ref="J12">-SUMPRODUCT((D1:H1-C1:G1)*(C12:G12+D12:H12)/2)</f>
        <v>78.078434213675436</v>
      </c>
      <c r="K12" s="41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59" t="s">
        <v>24</v>
      </c>
      <c r="N12" s="60"/>
      <c r="O12" s="43">
        <v>3.8088682011350912</v>
      </c>
      <c r="P12" s="44">
        <v>4.4783864386850611</v>
      </c>
      <c r="Q12" s="44">
        <v>5.0849840192173117</v>
      </c>
      <c r="R12" s="44">
        <v>5.0366327026230584</v>
      </c>
      <c r="S12" s="44">
        <v>7.6643798786674449</v>
      </c>
      <c r="T12" s="44">
        <v>10.05146904627655</v>
      </c>
      <c r="U12" s="45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59" t="s">
        <v>25</v>
      </c>
      <c r="B13" s="61"/>
      <c r="C13" s="73"/>
      <c r="D13" s="73"/>
      <c r="E13" s="73"/>
      <c r="F13" s="73"/>
      <c r="G13" s="73"/>
      <c r="H13" s="73"/>
      <c r="I13" s="74"/>
      <c r="J13" s="41"/>
      <c r="K13" s="41"/>
      <c r="L13" s="12"/>
      <c r="M13" s="59" t="s">
        <v>25</v>
      </c>
      <c r="N13" s="61"/>
      <c r="O13" s="73"/>
      <c r="P13" s="73"/>
      <c r="Q13" s="73"/>
      <c r="R13" s="73"/>
      <c r="S13" s="73"/>
      <c r="T13" s="73"/>
      <c r="U13" s="74"/>
      <c r="V13" s="12"/>
    </row>
    <row r="14" spans="1:22" ht="15.75" customHeight="1" thickBot="1" x14ac:dyDescent="0.25">
      <c r="A14" s="59" t="s">
        <v>7</v>
      </c>
      <c r="B14" s="60"/>
      <c r="C14" s="37">
        <v>92.969518190757128</v>
      </c>
      <c r="D14" s="38">
        <v>91.851524090462149</v>
      </c>
      <c r="E14" s="38">
        <v>90.756145526057011</v>
      </c>
      <c r="F14" s="38">
        <v>87.253136561158271</v>
      </c>
      <c r="G14" s="38">
        <v>81.178972136437139</v>
      </c>
      <c r="H14" s="38">
        <v>57.386929529378847</v>
      </c>
      <c r="I14" s="39">
        <v>44.855442809482213</v>
      </c>
      <c r="J14" s="41" cm="1">
        <f t="array" ref="J14">-SUMPRODUCT((D1:H1-C1:G1)*(C14:G14+D14:H14)/2)</f>
        <v>79.079417714109411</v>
      </c>
      <c r="K14" s="41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59" t="s">
        <v>7</v>
      </c>
      <c r="N14" s="60"/>
      <c r="O14" s="37">
        <v>3.3991921823554931</v>
      </c>
      <c r="P14" s="38">
        <v>3.6561489783789969</v>
      </c>
      <c r="Q14" s="38">
        <v>3.4316179388806831</v>
      </c>
      <c r="R14" s="38">
        <v>3.3610781227617821</v>
      </c>
      <c r="S14" s="38">
        <v>5.2773835873092807</v>
      </c>
      <c r="T14" s="38">
        <v>8.2027130196510409</v>
      </c>
      <c r="U14" s="39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62" t="s">
        <v>8</v>
      </c>
      <c r="B15" s="63"/>
      <c r="C15" s="40">
        <v>91.898721730580135</v>
      </c>
      <c r="D15" s="93">
        <v>90.765995668936</v>
      </c>
      <c r="E15" s="93">
        <v>89.705268500015848</v>
      </c>
      <c r="F15" s="93">
        <v>87.959685349065893</v>
      </c>
      <c r="G15" s="93">
        <v>85.750000720882824</v>
      </c>
      <c r="H15" s="93">
        <v>71.387388010853613</v>
      </c>
      <c r="I15" s="42">
        <v>45.596343105620853</v>
      </c>
      <c r="J15" s="41" cm="1">
        <f t="array" ref="J15">-SUMPRODUCT((D1:H1-C1:G1)*(C15:G15+D15:H15)/2)</f>
        <v>79.700846821050931</v>
      </c>
      <c r="K15" s="41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59" t="s">
        <v>8</v>
      </c>
      <c r="N15" s="60"/>
      <c r="O15" s="40">
        <v>3.190312271555559</v>
      </c>
      <c r="P15" s="93">
        <v>2.8828036064622768</v>
      </c>
      <c r="Q15" s="93">
        <v>2.5884740771146331</v>
      </c>
      <c r="R15" s="93">
        <v>2.6213450470877251</v>
      </c>
      <c r="S15" s="93">
        <v>3.203569989687661</v>
      </c>
      <c r="T15" s="93">
        <v>4.756712112750666</v>
      </c>
      <c r="U15" s="42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59" t="s">
        <v>23</v>
      </c>
      <c r="B16" s="60"/>
      <c r="C16" s="40">
        <v>93.044276622923505</v>
      </c>
      <c r="D16" s="93">
        <v>91.935155148400938</v>
      </c>
      <c r="E16" s="93">
        <v>90.94889229145582</v>
      </c>
      <c r="F16" s="93">
        <v>85.952505356159378</v>
      </c>
      <c r="G16" s="93">
        <v>78.915183810701947</v>
      </c>
      <c r="H16" s="93">
        <v>59.442100133507502</v>
      </c>
      <c r="I16" s="42">
        <v>49.533828147302302</v>
      </c>
      <c r="J16" s="41" cm="1">
        <f t="array" ref="J16">-SUMPRODUCT((D1:H1-C1:G1)*(C16:G16+D16:H16)/2)</f>
        <v>78.834323321712716</v>
      </c>
      <c r="K16" s="41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59" t="s">
        <v>23</v>
      </c>
      <c r="N16" s="60"/>
      <c r="O16" s="40">
        <v>3.72078192123604</v>
      </c>
      <c r="P16" s="93">
        <v>4.0467152776216686</v>
      </c>
      <c r="Q16" s="93">
        <v>4.0235763627769954</v>
      </c>
      <c r="R16" s="93">
        <v>4.4767633212331157</v>
      </c>
      <c r="S16" s="93">
        <v>7.2019016527503927</v>
      </c>
      <c r="T16" s="93">
        <v>10.04668436860082</v>
      </c>
      <c r="U16" s="42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59" t="s">
        <v>24</v>
      </c>
      <c r="B17" s="60"/>
      <c r="C17" s="43">
        <v>93.174110502686005</v>
      </c>
      <c r="D17" s="44">
        <v>91.391724841910417</v>
      </c>
      <c r="E17" s="44">
        <v>89.591539142495463</v>
      </c>
      <c r="F17" s="44">
        <v>84.690597092823751</v>
      </c>
      <c r="G17" s="44">
        <v>76.401347185817656</v>
      </c>
      <c r="H17" s="44">
        <v>59.963667505774268</v>
      </c>
      <c r="I17" s="45">
        <v>47.725577210875521</v>
      </c>
      <c r="J17" s="41" cm="1">
        <f t="array" ref="J17">-SUMPRODUCT((D1:H1-C1:G1)*(C17:G17+D17:H17)/2)</f>
        <v>77.994698988168864</v>
      </c>
      <c r="K17" s="41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59" t="s">
        <v>24</v>
      </c>
      <c r="N17" s="60"/>
      <c r="O17" s="43">
        <v>3.8766021792735019</v>
      </c>
      <c r="P17" s="44">
        <v>4.8126411406228078</v>
      </c>
      <c r="Q17" s="44">
        <v>4.6512210016047986</v>
      </c>
      <c r="R17" s="44">
        <v>5.2416066355763284</v>
      </c>
      <c r="S17" s="44">
        <v>8.0769588602235256</v>
      </c>
      <c r="T17" s="44">
        <v>10.657363307561541</v>
      </c>
      <c r="U17" s="45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65" t="s">
        <v>5</v>
      </c>
      <c r="B20" s="66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65" t="s">
        <v>5</v>
      </c>
      <c r="N20" s="66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65" t="s">
        <v>6</v>
      </c>
      <c r="B21" s="66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65" t="s">
        <v>6</v>
      </c>
      <c r="N21" s="66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65" t="s">
        <v>10</v>
      </c>
      <c r="B22" s="66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65" t="s">
        <v>10</v>
      </c>
      <c r="N22" s="66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65" t="s">
        <v>14</v>
      </c>
      <c r="B23" s="67"/>
      <c r="C23" s="67"/>
      <c r="D23" s="67"/>
      <c r="E23" s="67"/>
      <c r="F23" s="67"/>
      <c r="G23" s="67"/>
      <c r="H23" s="67"/>
      <c r="I23" s="66"/>
      <c r="J23" s="50"/>
      <c r="K23" s="50"/>
      <c r="L23" s="1"/>
      <c r="M23" s="65" t="s">
        <v>14</v>
      </c>
      <c r="N23" s="67"/>
      <c r="O23" s="67"/>
      <c r="P23" s="67"/>
      <c r="Q23" s="67"/>
      <c r="R23" s="67"/>
      <c r="S23" s="67"/>
      <c r="T23" s="67"/>
      <c r="U23" s="66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65" t="s">
        <v>22</v>
      </c>
      <c r="B26" s="67"/>
      <c r="C26" s="68"/>
      <c r="D26" s="68"/>
      <c r="E26" s="68"/>
      <c r="F26" s="68"/>
      <c r="G26" s="68"/>
      <c r="H26" s="68"/>
      <c r="I26" s="69"/>
      <c r="J26" s="50"/>
      <c r="K26" s="50"/>
      <c r="L26" s="1"/>
      <c r="M26" s="65" t="s">
        <v>22</v>
      </c>
      <c r="N26" s="67"/>
      <c r="O26" s="68"/>
      <c r="P26" s="68"/>
      <c r="Q26" s="68"/>
      <c r="R26" s="68"/>
      <c r="S26" s="68"/>
      <c r="T26" s="68"/>
      <c r="U26" s="69"/>
      <c r="V26" s="1"/>
    </row>
    <row r="27" spans="1:22" ht="14.25" customHeight="1" thickBot="1" x14ac:dyDescent="0.25">
      <c r="A27" s="65" t="s">
        <v>7</v>
      </c>
      <c r="B27" s="66"/>
      <c r="C27" s="46">
        <v>93.403798109785029</v>
      </c>
      <c r="D27" s="47">
        <v>91.51700700493744</v>
      </c>
      <c r="E27" s="47">
        <v>89.749880462689262</v>
      </c>
      <c r="F27" s="47">
        <v>83.99730958119234</v>
      </c>
      <c r="G27" s="47">
        <v>74.394962965986878</v>
      </c>
      <c r="H27" s="47">
        <v>58.095582470498513</v>
      </c>
      <c r="I27" s="48">
        <v>44.434812706207254</v>
      </c>
      <c r="J27" s="50"/>
      <c r="K27" s="50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65" t="s">
        <v>7</v>
      </c>
      <c r="N27" s="66"/>
      <c r="O27" s="46">
        <v>3.9553866501853321</v>
      </c>
      <c r="P27" s="47">
        <v>4.517630835861226</v>
      </c>
      <c r="Q27" s="47">
        <v>5.2125425794506972</v>
      </c>
      <c r="R27" s="47">
        <v>5.6477461387684551</v>
      </c>
      <c r="S27" s="47">
        <v>8.6090564713117175</v>
      </c>
      <c r="T27" s="47">
        <v>11.357157347254571</v>
      </c>
      <c r="U27" s="48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65" t="s">
        <v>8</v>
      </c>
      <c r="B28" s="66"/>
      <c r="C28" s="49">
        <v>92.778947400409621</v>
      </c>
      <c r="D28" s="94">
        <v>91.450368996373655</v>
      </c>
      <c r="E28" s="94">
        <v>89.879480954542075</v>
      </c>
      <c r="F28" s="94">
        <v>84.748756470336986</v>
      </c>
      <c r="G28" s="94">
        <v>75.627608782580538</v>
      </c>
      <c r="H28" s="94">
        <v>58.300265665116903</v>
      </c>
      <c r="I28" s="51">
        <v>48.584106437626268</v>
      </c>
      <c r="J28" s="50"/>
      <c r="K28" s="50"/>
      <c r="L28" s="1" t="str">
        <f t="shared" si="10"/>
        <v xml:space="preserve">    92.7789474004096, 91.4503689963737, 89.8794809545421, 84.748756470337, 75.6276087825805, 58.3002656651169, 48.5841064376263,</v>
      </c>
      <c r="M28" s="65" t="s">
        <v>8</v>
      </c>
      <c r="N28" s="66"/>
      <c r="O28" s="49">
        <v>4.3743918396131134</v>
      </c>
      <c r="P28" s="94">
        <v>5.1779143655465321</v>
      </c>
      <c r="Q28" s="94">
        <v>4.8362705721377752</v>
      </c>
      <c r="R28" s="94">
        <v>5.6797782301447892</v>
      </c>
      <c r="S28" s="94">
        <v>9.0190902977959446</v>
      </c>
      <c r="T28" s="94">
        <v>11.000258135261941</v>
      </c>
      <c r="U28" s="51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65" t="s">
        <v>23</v>
      </c>
      <c r="B29" s="66"/>
      <c r="C29" s="49">
        <v>92.492055194421354</v>
      </c>
      <c r="D29" s="94">
        <v>91.055738083245984</v>
      </c>
      <c r="E29" s="94">
        <v>89.241264887762341</v>
      </c>
      <c r="F29" s="94">
        <v>82.713601809643421</v>
      </c>
      <c r="G29" s="94">
        <v>73.133677048774885</v>
      </c>
      <c r="H29" s="94">
        <v>56.229205901331248</v>
      </c>
      <c r="I29" s="51">
        <v>43.695396708102962</v>
      </c>
      <c r="J29" s="50"/>
      <c r="K29" s="50"/>
      <c r="L29" s="1" t="str">
        <f t="shared" si="10"/>
        <v xml:space="preserve">    92.4920551944214, 91.055738083246, 89.2412648877623, 82.7136018096434, 73.1336770487749, 56.2292059013312, 43.695396708103,</v>
      </c>
      <c r="M29" s="65" t="s">
        <v>23</v>
      </c>
      <c r="N29" s="66"/>
      <c r="O29" s="49">
        <v>4.0986250609792014</v>
      </c>
      <c r="P29" s="94">
        <v>4.5926443490712341</v>
      </c>
      <c r="Q29" s="94">
        <v>4.8521598807380544</v>
      </c>
      <c r="R29" s="94">
        <v>5.8188919126166327</v>
      </c>
      <c r="S29" s="94">
        <v>9.5088987825376563</v>
      </c>
      <c r="T29" s="94">
        <v>11.32839542788332</v>
      </c>
      <c r="U29" s="51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65" t="s">
        <v>24</v>
      </c>
      <c r="B30" s="66"/>
      <c r="C30" s="52">
        <v>92.657174075741665</v>
      </c>
      <c r="D30" s="53">
        <v>91.208050814372243</v>
      </c>
      <c r="E30" s="53">
        <v>89.170455678091372</v>
      </c>
      <c r="F30" s="53">
        <v>84.474616062770011</v>
      </c>
      <c r="G30" s="53">
        <v>75.066668593640316</v>
      </c>
      <c r="H30" s="53">
        <v>58.520340993368222</v>
      </c>
      <c r="I30" s="54">
        <v>44.786141592049418</v>
      </c>
      <c r="J30" s="58"/>
      <c r="K30" s="58"/>
      <c r="L30" s="1" t="str">
        <f t="shared" si="10"/>
        <v xml:space="preserve">    92.6571740757417, 91.2080508143722, 89.1704556780914, 84.47461606277, 75.0666685936403, 58.5203409933682, 44.7861415920494,</v>
      </c>
      <c r="M30" s="65" t="s">
        <v>24</v>
      </c>
      <c r="N30" s="66"/>
      <c r="O30" s="52">
        <v>4.2589004392769629</v>
      </c>
      <c r="P30" s="53">
        <v>4.8517186601265534</v>
      </c>
      <c r="Q30" s="53">
        <v>5.6717673083496472</v>
      </c>
      <c r="R30" s="53">
        <v>5.3079507961921779</v>
      </c>
      <c r="S30" s="53">
        <v>7.7884705615072454</v>
      </c>
      <c r="T30" s="53">
        <v>10.595563377926201</v>
      </c>
      <c r="U30" s="54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65" t="s">
        <v>25</v>
      </c>
      <c r="B31" s="67"/>
      <c r="C31" s="71"/>
      <c r="D31" s="71"/>
      <c r="E31" s="71"/>
      <c r="F31" s="71"/>
      <c r="G31" s="71"/>
      <c r="H31" s="71"/>
      <c r="I31" s="72"/>
      <c r="J31" s="50"/>
      <c r="K31" s="50"/>
      <c r="L31" s="1"/>
      <c r="M31" s="65" t="s">
        <v>25</v>
      </c>
      <c r="N31" s="67"/>
      <c r="O31" s="71"/>
      <c r="P31" s="71"/>
      <c r="Q31" s="71"/>
      <c r="R31" s="71"/>
      <c r="S31" s="71"/>
      <c r="T31" s="71"/>
      <c r="U31" s="72"/>
      <c r="V31" s="1"/>
    </row>
    <row r="32" spans="1:22" ht="15.75" customHeight="1" thickBot="1" x14ac:dyDescent="0.25">
      <c r="A32" s="65" t="s">
        <v>7</v>
      </c>
      <c r="B32" s="66"/>
      <c r="C32" s="46">
        <v>92.603769819293618</v>
      </c>
      <c r="D32" s="47">
        <v>91.431947068352812</v>
      </c>
      <c r="E32" s="47">
        <v>90.390795042999585</v>
      </c>
      <c r="F32" s="47">
        <v>86.789562828222273</v>
      </c>
      <c r="G32" s="47">
        <v>80.615554033052248</v>
      </c>
      <c r="H32" s="47">
        <v>56.609578553133908</v>
      </c>
      <c r="I32" s="48">
        <v>41.27928062292434</v>
      </c>
      <c r="J32" s="50"/>
      <c r="K32" s="50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65" t="s">
        <v>7</v>
      </c>
      <c r="N32" s="66"/>
      <c r="O32" s="46">
        <v>3.708759274801273</v>
      </c>
      <c r="P32" s="47">
        <v>3.9640390541215931</v>
      </c>
      <c r="Q32" s="47">
        <v>3.7067998106756881</v>
      </c>
      <c r="R32" s="47">
        <v>3.667452632531309</v>
      </c>
      <c r="S32" s="47">
        <v>5.7548227051500218</v>
      </c>
      <c r="T32" s="47">
        <v>8.5366536877555248</v>
      </c>
      <c r="U32" s="48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70" t="s">
        <v>8</v>
      </c>
      <c r="B33" s="69"/>
      <c r="C33" s="49">
        <v>91.377634404932721</v>
      </c>
      <c r="D33" s="94">
        <v>90.405373333245066</v>
      </c>
      <c r="E33" s="94">
        <v>89.371480308332721</v>
      </c>
      <c r="F33" s="94">
        <v>87.60989862639515</v>
      </c>
      <c r="G33" s="94">
        <v>85.537230701510694</v>
      </c>
      <c r="H33" s="94">
        <v>70.930708745421484</v>
      </c>
      <c r="I33" s="51">
        <v>44.097326232806537</v>
      </c>
      <c r="J33" s="50"/>
      <c r="K33" s="50"/>
      <c r="L33" s="1" t="str">
        <f t="shared" si="11"/>
        <v xml:space="preserve">    91.3776344049327, 90.4053733332451, 89.3714803083327, 87.6098986263952, 85.5372307015107, 70.9307087454215, 44.0973262328065,</v>
      </c>
      <c r="M33" s="65" t="s">
        <v>8</v>
      </c>
      <c r="N33" s="66"/>
      <c r="O33" s="49">
        <v>3.5684194304484111</v>
      </c>
      <c r="P33" s="94">
        <v>3.0347581440341318</v>
      </c>
      <c r="Q33" s="94">
        <v>2.754130276526872</v>
      </c>
      <c r="R33" s="94">
        <v>2.7768782002466339</v>
      </c>
      <c r="S33" s="94">
        <v>3.3184641894178428</v>
      </c>
      <c r="T33" s="94">
        <v>4.9795199020249923</v>
      </c>
      <c r="U33" s="51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65" t="s">
        <v>23</v>
      </c>
      <c r="B34" s="66"/>
      <c r="C34" s="49">
        <v>92.603715202692385</v>
      </c>
      <c r="D34" s="94">
        <v>91.484997502720319</v>
      </c>
      <c r="E34" s="94">
        <v>90.630171299324857</v>
      </c>
      <c r="F34" s="94">
        <v>85.342034697064548</v>
      </c>
      <c r="G34" s="94">
        <v>78.208607944308184</v>
      </c>
      <c r="H34" s="94">
        <v>58.188767254712552</v>
      </c>
      <c r="I34" s="51">
        <v>45.468919562576168</v>
      </c>
      <c r="J34" s="50"/>
      <c r="K34" s="50"/>
      <c r="L34" s="1" t="str">
        <f t="shared" si="11"/>
        <v xml:space="preserve">    92.6037152026924, 91.4849975027203, 90.6301712993249, 85.3420346970645, 78.2086079443082, 58.1887672547126, 45.4689195625762,</v>
      </c>
      <c r="M34" s="65" t="s">
        <v>23</v>
      </c>
      <c r="N34" s="66"/>
      <c r="O34" s="49">
        <v>4.0727132923350373</v>
      </c>
      <c r="P34" s="94">
        <v>4.4231285957629458</v>
      </c>
      <c r="Q34" s="94">
        <v>4.3011534303531356</v>
      </c>
      <c r="R34" s="94">
        <v>4.8453894583465429</v>
      </c>
      <c r="S34" s="94">
        <v>7.5589700135942426</v>
      </c>
      <c r="T34" s="94">
        <v>10.3740336621021</v>
      </c>
      <c r="U34" s="51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65" t="s">
        <v>24</v>
      </c>
      <c r="B35" s="66"/>
      <c r="C35" s="52">
        <v>92.692685851985146</v>
      </c>
      <c r="D35" s="53">
        <v>91.028008929063319</v>
      </c>
      <c r="E35" s="53">
        <v>89.101176850288709</v>
      </c>
      <c r="F35" s="53">
        <v>84.121695311135312</v>
      </c>
      <c r="G35" s="53">
        <v>75.514536359946376</v>
      </c>
      <c r="H35" s="53">
        <v>58.551851548300363</v>
      </c>
      <c r="I35" s="54">
        <v>43.528644478603361</v>
      </c>
      <c r="J35" s="50"/>
      <c r="K35" s="50"/>
      <c r="L35" s="1" t="str">
        <f t="shared" si="11"/>
        <v xml:space="preserve">    92.6926858519851, 91.0280089290633, 89.1011768502887, 84.1216953111353, 75.5145363599464, 58.5518515483004, 43.5286444786034,</v>
      </c>
      <c r="M35" s="65" t="s">
        <v>24</v>
      </c>
      <c r="N35" s="66"/>
      <c r="O35" s="52">
        <v>4.3508377678439567</v>
      </c>
      <c r="P35" s="53">
        <v>5.1455197984597092</v>
      </c>
      <c r="Q35" s="53">
        <v>5.0319449257944937</v>
      </c>
      <c r="R35" s="53">
        <v>5.4881092234662896</v>
      </c>
      <c r="S35" s="53">
        <v>8.3963724907401343</v>
      </c>
      <c r="T35" s="53">
        <v>11.26477476806841</v>
      </c>
      <c r="U35" s="54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C6:I7 C2:I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7 C2:I4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C6:K7 J5:K5 J8:K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59" t="s">
        <v>5</v>
      </c>
      <c r="B2" s="6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59" t="s">
        <v>5</v>
      </c>
      <c r="N2" s="60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9" t="s">
        <v>6</v>
      </c>
      <c r="B3" s="60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59" t="s">
        <v>6</v>
      </c>
      <c r="N3" s="60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59" t="s">
        <v>10</v>
      </c>
      <c r="B4" s="60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59" t="s">
        <v>10</v>
      </c>
      <c r="N4" s="60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59" t="s">
        <v>14</v>
      </c>
      <c r="B5" s="61"/>
      <c r="C5" s="61"/>
      <c r="D5" s="61"/>
      <c r="E5" s="61"/>
      <c r="F5" s="61"/>
      <c r="G5" s="61"/>
      <c r="H5" s="61"/>
      <c r="I5" s="60"/>
      <c r="J5" s="41"/>
      <c r="K5" s="41"/>
      <c r="L5" s="12"/>
      <c r="M5" s="59" t="s">
        <v>14</v>
      </c>
      <c r="N5" s="61"/>
      <c r="O5" s="61"/>
      <c r="P5" s="61"/>
      <c r="Q5" s="61"/>
      <c r="R5" s="61"/>
      <c r="S5" s="61"/>
      <c r="T5" s="61"/>
      <c r="U5" s="60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59" t="s">
        <v>22</v>
      </c>
      <c r="B13" s="61"/>
      <c r="C13" s="64"/>
      <c r="D13" s="64"/>
      <c r="E13" s="64"/>
      <c r="F13" s="64"/>
      <c r="G13" s="64"/>
      <c r="H13" s="64"/>
      <c r="I13" s="63"/>
      <c r="J13" s="41"/>
      <c r="K13" s="41"/>
      <c r="L13" s="12"/>
      <c r="M13" s="59" t="s">
        <v>22</v>
      </c>
      <c r="N13" s="61"/>
      <c r="O13" s="64"/>
      <c r="P13" s="64"/>
      <c r="Q13" s="64"/>
      <c r="R13" s="64"/>
      <c r="S13" s="64"/>
      <c r="T13" s="64"/>
      <c r="U13" s="63"/>
      <c r="V13" s="12"/>
    </row>
    <row r="14" spans="1:22" ht="15.75" customHeight="1" thickBot="1" x14ac:dyDescent="0.25">
      <c r="A14" s="59" t="s">
        <v>7</v>
      </c>
      <c r="B14" s="60"/>
      <c r="C14" s="75">
        <v>93.782740335124032</v>
      </c>
      <c r="D14" s="76">
        <v>91.948208894540599</v>
      </c>
      <c r="E14" s="76">
        <v>90.212980504444957</v>
      </c>
      <c r="F14" s="76">
        <v>84.630388959535409</v>
      </c>
      <c r="G14" s="76">
        <v>75.371093175546491</v>
      </c>
      <c r="H14" s="76">
        <v>59.627211308056303</v>
      </c>
      <c r="I14" s="77">
        <v>47.844185503334799</v>
      </c>
      <c r="J14" s="41" cm="1">
        <f t="array" ref="J14">-SUMPRODUCT((D1:H1-C1:G1)*(C14:G14+D14:H14)/2)</f>
        <v>78.220843605913544</v>
      </c>
      <c r="K14" s="41" cm="1">
        <f t="array" ref="K14">-SUMPRODUCT((D1:I1-C1:H1)*(C14:H14+D14:I14)/2)</f>
        <v>80.907628526198323</v>
      </c>
      <c r="L14" s="12" t="str">
        <f t="shared" si="0"/>
        <v xml:space="preserve">    93.782740335124, 91.9482088945406, 90.212980504445, 84.6303889595354, 75.3710931755465, 59.6272113080563, 47.8441855033348,</v>
      </c>
      <c r="M14" s="59" t="s">
        <v>7</v>
      </c>
      <c r="N14" s="60"/>
      <c r="O14" s="75">
        <v>3.5391983918820551</v>
      </c>
      <c r="P14" s="76">
        <v>4.1060038651541966</v>
      </c>
      <c r="Q14" s="76">
        <v>4.774795806468676</v>
      </c>
      <c r="R14" s="76">
        <v>5.3483339064680431</v>
      </c>
      <c r="S14" s="76">
        <v>8.0994903921197494</v>
      </c>
      <c r="T14" s="76">
        <v>10.59987402205407</v>
      </c>
      <c r="U14" s="77">
        <v>8.7604668874903737</v>
      </c>
      <c r="V14" s="12" t="str">
        <f t="shared" si="1"/>
        <v xml:space="preserve">    3.53919839188206, 4.1060038651542, 4.77479580646868, 5.34833390646804, 8.09949039211975, 10.5998740220541, 8.76046688749037,</v>
      </c>
    </row>
    <row r="15" spans="1:22" ht="15.75" customHeight="1" thickBot="1" x14ac:dyDescent="0.25">
      <c r="A15" s="62" t="s">
        <v>8</v>
      </c>
      <c r="B15" s="63"/>
      <c r="C15" s="78">
        <v>93.226230330712227</v>
      </c>
      <c r="D15" s="79">
        <v>91.83329152212967</v>
      </c>
      <c r="E15" s="79">
        <v>90.325291164571794</v>
      </c>
      <c r="F15" s="79">
        <v>85.383492360083878</v>
      </c>
      <c r="G15" s="79">
        <v>76.567000291236639</v>
      </c>
      <c r="H15" s="79">
        <v>59.41454222499042</v>
      </c>
      <c r="I15" s="80">
        <v>50.563407411252108</v>
      </c>
      <c r="J15" s="41" cm="1">
        <f t="array" ref="J15">-SUMPRODUCT((D1:H1-C1:G1)*(C15:G15+D15:H15)/2)</f>
        <v>78.369743178285859</v>
      </c>
      <c r="K15" s="41" cm="1">
        <f t="array" ref="K15">-SUMPRODUCT((D1:I1-C1:H1)*(C15:H15+D15:I15)/2)</f>
        <v>81.11919191919192</v>
      </c>
      <c r="L15" s="12" t="str">
        <f t="shared" si="0"/>
        <v xml:space="preserve">    93.2262303307122, 91.8332915221297, 90.3252911645718, 85.3834923600839, 76.5670002912366, 59.4145422249904, 50.5634074112521,</v>
      </c>
      <c r="M15" s="59" t="s">
        <v>8</v>
      </c>
      <c r="N15" s="60"/>
      <c r="O15" s="78">
        <v>3.945711842949601</v>
      </c>
      <c r="P15" s="79">
        <v>4.8525950161134093</v>
      </c>
      <c r="Q15" s="79">
        <v>4.4346894499148144</v>
      </c>
      <c r="R15" s="79">
        <v>5.4810029574676529</v>
      </c>
      <c r="S15" s="79">
        <v>8.4636725644600066</v>
      </c>
      <c r="T15" s="79">
        <v>10.788297692871961</v>
      </c>
      <c r="U15" s="80">
        <v>8.7433484877826491</v>
      </c>
      <c r="V15" s="12" t="str">
        <f t="shared" si="1"/>
        <v xml:space="preserve">    3.9457118429496, 4.85259501611341, 4.43468944991481, 5.48100295746765, 8.46367256446001, 10.788297692872, 8.74334848778265,</v>
      </c>
    </row>
    <row r="16" spans="1:22" ht="15.75" customHeight="1" thickBot="1" x14ac:dyDescent="0.25">
      <c r="A16" s="59" t="s">
        <v>23</v>
      </c>
      <c r="B16" s="60"/>
      <c r="C16" s="78">
        <v>93.004922187908207</v>
      </c>
      <c r="D16" s="79">
        <v>91.518502178507859</v>
      </c>
      <c r="E16" s="79">
        <v>89.729420958082102</v>
      </c>
      <c r="F16" s="79">
        <v>83.348607398564567</v>
      </c>
      <c r="G16" s="79">
        <v>74.087719905304837</v>
      </c>
      <c r="H16" s="79">
        <v>57.917332041511322</v>
      </c>
      <c r="I16" s="80">
        <v>48.007794185070807</v>
      </c>
      <c r="J16" s="41" cm="1">
        <f t="array" ref="J16">-SUMPRODUCT((D1:H1-C1:G1)*(C16:G16+D16:H16)/2)</f>
        <v>77.501290236074709</v>
      </c>
      <c r="K16" s="41" cm="1">
        <f t="array" ref="K16">-SUMPRODUCT((D1:I1-C1:H1)*(C16:H16+D16:I16)/2)</f>
        <v>80.14941839173926</v>
      </c>
      <c r="L16" s="12" t="str">
        <f t="shared" si="0"/>
        <v xml:space="preserve">    93.0049221879082, 91.5185021785079, 89.7294209580821, 83.3486073985646, 74.0877199053048, 57.9173320415113, 48.0077941850708,</v>
      </c>
      <c r="M16" s="59" t="s">
        <v>23</v>
      </c>
      <c r="N16" s="60"/>
      <c r="O16" s="78">
        <v>3.690401528555848</v>
      </c>
      <c r="P16" s="79">
        <v>4.2469367469027457</v>
      </c>
      <c r="Q16" s="79">
        <v>4.4611096369834957</v>
      </c>
      <c r="R16" s="79">
        <v>5.4089286426803449</v>
      </c>
      <c r="S16" s="79">
        <v>9.092124974067179</v>
      </c>
      <c r="T16" s="79">
        <v>10.83557708581068</v>
      </c>
      <c r="U16" s="80">
        <v>9.2904800440053528</v>
      </c>
      <c r="V16" s="12" t="str">
        <f t="shared" si="1"/>
        <v xml:space="preserve">    3.69040152855585, 4.24693674690275, 4.4611096369835, 5.40892864268034, 9.09212497406718, 10.8355770858107, 9.29048004400535,</v>
      </c>
    </row>
    <row r="17" spans="1:22" ht="15.75" customHeight="1" thickBot="1" x14ac:dyDescent="0.25">
      <c r="A17" s="59" t="s">
        <v>24</v>
      </c>
      <c r="B17" s="60"/>
      <c r="C17" s="81">
        <v>93.123279613145442</v>
      </c>
      <c r="D17" s="82">
        <v>91.674385879923975</v>
      </c>
      <c r="E17" s="82">
        <v>89.698688281617194</v>
      </c>
      <c r="F17" s="82">
        <v>84.957067102656595</v>
      </c>
      <c r="G17" s="82">
        <v>75.939082518014857</v>
      </c>
      <c r="H17" s="82">
        <v>59.995092229748238</v>
      </c>
      <c r="I17" s="83">
        <v>48.440303693515233</v>
      </c>
      <c r="J17" s="41" cm="1">
        <f t="array" ref="J17">-SUMPRODUCT((D1:H1-C1:G1)*(C17:G17+D17:H17)/2)</f>
        <v>78.078434213675436</v>
      </c>
      <c r="K17" s="41" cm="1">
        <f t="array" ref="K17">-SUMPRODUCT((D1:I1-C1:H1)*(C17:H17+D17:I17)/2)</f>
        <v>80.789319111757024</v>
      </c>
      <c r="L17" s="12"/>
      <c r="M17" s="59" t="s">
        <v>24</v>
      </c>
      <c r="N17" s="60"/>
      <c r="O17" s="81">
        <v>3.8088682011350912</v>
      </c>
      <c r="P17" s="82">
        <v>4.4783864386850611</v>
      </c>
      <c r="Q17" s="82">
        <v>5.0849840192173117</v>
      </c>
      <c r="R17" s="82">
        <v>5.0366327026230584</v>
      </c>
      <c r="S17" s="82">
        <v>7.6643798786674449</v>
      </c>
      <c r="T17" s="82">
        <v>10.05146904627655</v>
      </c>
      <c r="U17" s="83">
        <v>9.821397671709315</v>
      </c>
      <c r="V17" s="12"/>
    </row>
    <row r="18" spans="1:22" ht="15.75" customHeight="1" thickBot="1" x14ac:dyDescent="0.25">
      <c r="A18" s="59" t="s">
        <v>25</v>
      </c>
      <c r="B18" s="61"/>
      <c r="C18" s="73"/>
      <c r="D18" s="73"/>
      <c r="E18" s="73"/>
      <c r="F18" s="73"/>
      <c r="G18" s="73"/>
      <c r="H18" s="73"/>
      <c r="I18" s="74"/>
      <c r="J18" s="41"/>
      <c r="K18" s="41"/>
      <c r="L18" s="12"/>
      <c r="M18" s="59" t="s">
        <v>25</v>
      </c>
      <c r="N18" s="61"/>
      <c r="O18" s="73"/>
      <c r="P18" s="73"/>
      <c r="Q18" s="73"/>
      <c r="R18" s="73"/>
      <c r="S18" s="73"/>
      <c r="T18" s="73"/>
      <c r="U18" s="74"/>
      <c r="V18" s="12"/>
    </row>
    <row r="19" spans="1:22" ht="15.75" customHeight="1" thickBot="1" x14ac:dyDescent="0.25">
      <c r="A19" s="59" t="s">
        <v>7</v>
      </c>
      <c r="B19" s="60"/>
      <c r="C19" s="75">
        <v>92.969518190757128</v>
      </c>
      <c r="D19" s="76">
        <v>91.851524090462149</v>
      </c>
      <c r="E19" s="76">
        <v>90.756145526057011</v>
      </c>
      <c r="F19" s="76">
        <v>87.253136561158271</v>
      </c>
      <c r="G19" s="76">
        <v>81.178972136437139</v>
      </c>
      <c r="H19" s="76">
        <v>57.386929529378847</v>
      </c>
      <c r="I19" s="77">
        <v>44.855442809482213</v>
      </c>
      <c r="J19" s="41" cm="1">
        <f t="array" ref="J19">-SUMPRODUCT((D1:H1-C1:G1)*(C19:G19+D19:H19)/2)</f>
        <v>79.079417714109411</v>
      </c>
      <c r="K19" s="41" cm="1">
        <f t="array" ref="K19">-SUMPRODUCT((D1:I1-C1:H1)*(C19:H19+D19:I19)/2)</f>
        <v>81.635477022580943</v>
      </c>
      <c r="L19" s="12" t="str">
        <f t="shared" ref="L19:L21" si="2">"    "&amp;_xlfn.TEXTJOIN(", ",TRUE,C19:I19)&amp;","</f>
        <v xml:space="preserve">    92.9695181907571, 91.8515240904621, 90.756145526057, 87.2531365611583, 81.1789721364371, 57.3869295293788, 44.8554428094822,</v>
      </c>
      <c r="M19" s="59" t="s">
        <v>7</v>
      </c>
      <c r="N19" s="60"/>
      <c r="O19" s="75">
        <v>3.3991921823554931</v>
      </c>
      <c r="P19" s="76">
        <v>3.6561489783789969</v>
      </c>
      <c r="Q19" s="76">
        <v>3.4316179388806831</v>
      </c>
      <c r="R19" s="76">
        <v>3.3610781227617821</v>
      </c>
      <c r="S19" s="76">
        <v>5.2773835873092807</v>
      </c>
      <c r="T19" s="76">
        <v>8.2027130196510409</v>
      </c>
      <c r="U19" s="77">
        <v>5.203571843512913</v>
      </c>
      <c r="V19" s="12" t="str">
        <f t="shared" ref="V19:V21" si="3">"    "&amp;_xlfn.TEXTJOIN(", ",TRUE,O19:U19)&amp;","</f>
        <v xml:space="preserve">    3.39919218235549, 3.656148978379, 3.43161793888068, 3.36107812276178, 5.27738358730928, 8.20271301965104, 5.20357184351291,</v>
      </c>
    </row>
    <row r="20" spans="1:22" ht="15.75" customHeight="1" thickBot="1" x14ac:dyDescent="0.25">
      <c r="A20" s="62" t="s">
        <v>8</v>
      </c>
      <c r="B20" s="63"/>
      <c r="C20" s="78">
        <v>91.898721730580135</v>
      </c>
      <c r="D20" s="79">
        <v>90.765995668936</v>
      </c>
      <c r="E20" s="79">
        <v>89.705268500015848</v>
      </c>
      <c r="F20" s="79">
        <v>87.959685349065893</v>
      </c>
      <c r="G20" s="79">
        <v>85.750000720882824</v>
      </c>
      <c r="H20" s="79">
        <v>71.387388010853613</v>
      </c>
      <c r="I20" s="80">
        <v>45.596343105620853</v>
      </c>
      <c r="J20" s="41" cm="1">
        <f t="array" ref="J20">-SUMPRODUCT((D1:H1-C1:G1)*(C20:G20+D20:H20)/2)</f>
        <v>79.700846821050931</v>
      </c>
      <c r="K20" s="41" cm="1">
        <f t="array" ref="K20">-SUMPRODUCT((D1:I1-C1:H1)*(C20:H20+D20:I20)/2)</f>
        <v>82.625440098962798</v>
      </c>
      <c r="L20" s="12" t="str">
        <f t="shared" si="2"/>
        <v xml:space="preserve">    91.8987217305801, 90.765995668936, 89.7052685000158, 87.9596853490659, 85.7500007208828, 71.3873880108536, 45.5963431056209,</v>
      </c>
      <c r="M20" s="59" t="s">
        <v>8</v>
      </c>
      <c r="N20" s="60"/>
      <c r="O20" s="78">
        <v>3.190312271555559</v>
      </c>
      <c r="P20" s="79">
        <v>2.8828036064622768</v>
      </c>
      <c r="Q20" s="79">
        <v>2.5884740771146331</v>
      </c>
      <c r="R20" s="79">
        <v>2.6213450470877251</v>
      </c>
      <c r="S20" s="79">
        <v>3.203569989687661</v>
      </c>
      <c r="T20" s="79">
        <v>4.756712112750666</v>
      </c>
      <c r="U20" s="80">
        <v>2.488810891584841</v>
      </c>
      <c r="V20" s="12" t="str">
        <f t="shared" si="3"/>
        <v xml:space="preserve">    3.19031227155556, 2.88280360646228, 2.58847407711463, 2.62134504708773, 3.20356998968766, 4.75671211275067, 2.48881089158484,</v>
      </c>
    </row>
    <row r="21" spans="1:22" ht="15.75" customHeight="1" thickBot="1" x14ac:dyDescent="0.25">
      <c r="A21" s="59" t="s">
        <v>23</v>
      </c>
      <c r="B21" s="60"/>
      <c r="C21" s="78">
        <v>93.044276622923505</v>
      </c>
      <c r="D21" s="79">
        <v>91.935155148400938</v>
      </c>
      <c r="E21" s="79">
        <v>90.94889229145582</v>
      </c>
      <c r="F21" s="79">
        <v>85.952505356159378</v>
      </c>
      <c r="G21" s="79">
        <v>78.915183810701947</v>
      </c>
      <c r="H21" s="79">
        <v>59.442100133507502</v>
      </c>
      <c r="I21" s="80">
        <v>49.533828147302302</v>
      </c>
      <c r="J21" s="41" cm="1">
        <f t="array" ref="J21">-SUMPRODUCT((D1:H1-C1:G1)*(C21:G21+D21:H21)/2)</f>
        <v>78.834323321712716</v>
      </c>
      <c r="K21" s="41" cm="1">
        <f t="array" ref="K21">-SUMPRODUCT((D1:I1-C1:H1)*(C21:H21+D21:I21)/2)</f>
        <v>81.55872152873296</v>
      </c>
      <c r="L21" s="12" t="str">
        <f t="shared" si="2"/>
        <v xml:space="preserve">    93.0442766229235, 91.9351551484009, 90.9488922914558, 85.9525053561594, 78.9151838107019, 59.4421001335075, 49.5338281473023,</v>
      </c>
      <c r="M21" s="59" t="s">
        <v>23</v>
      </c>
      <c r="N21" s="60"/>
      <c r="O21" s="78">
        <v>3.72078192123604</v>
      </c>
      <c r="P21" s="79">
        <v>4.0467152776216686</v>
      </c>
      <c r="Q21" s="79">
        <v>4.0235763627769954</v>
      </c>
      <c r="R21" s="79">
        <v>4.4767633212331157</v>
      </c>
      <c r="S21" s="79">
        <v>7.2019016527503927</v>
      </c>
      <c r="T21" s="79">
        <v>10.04668436860082</v>
      </c>
      <c r="U21" s="80">
        <v>9.2355901481835172</v>
      </c>
      <c r="V21" s="12" t="str">
        <f t="shared" si="3"/>
        <v xml:space="preserve">    3.72078192123604, 4.04671527762167, 4.023576362777, 4.47676332123312, 7.20190165275039, 10.0466843686008, 9.23559014818352,</v>
      </c>
    </row>
    <row r="22" spans="1:22" ht="15.75" customHeight="1" thickBot="1" x14ac:dyDescent="0.25">
      <c r="A22" s="59" t="s">
        <v>24</v>
      </c>
      <c r="B22" s="60"/>
      <c r="C22" s="81">
        <v>93.174110502686005</v>
      </c>
      <c r="D22" s="82">
        <v>91.391724841910417</v>
      </c>
      <c r="E22" s="82">
        <v>89.591539142495463</v>
      </c>
      <c r="F22" s="82">
        <v>84.690597092823751</v>
      </c>
      <c r="G22" s="82">
        <v>76.401347185817656</v>
      </c>
      <c r="H22" s="82">
        <v>59.963667505774268</v>
      </c>
      <c r="I22" s="83">
        <v>47.725577210875521</v>
      </c>
      <c r="J22" s="41" cm="1">
        <f t="array" ref="J22">-SUMPRODUCT((D1:H1-C1:G1)*(C22:G22+D22:H22)/2)</f>
        <v>77.994698988168864</v>
      </c>
      <c r="K22" s="41" cm="1">
        <f t="array" ref="K22">-SUMPRODUCT((D1:I1-C1:H1)*(C22:H22+D22:I22)/2)</f>
        <v>80.686930106085114</v>
      </c>
      <c r="L22" s="12"/>
      <c r="M22" s="59" t="s">
        <v>24</v>
      </c>
      <c r="N22" s="60"/>
      <c r="O22" s="81">
        <v>3.8766021792735019</v>
      </c>
      <c r="P22" s="82">
        <v>4.8126411406228078</v>
      </c>
      <c r="Q22" s="82">
        <v>4.6512210016047986</v>
      </c>
      <c r="R22" s="82">
        <v>5.2416066355763284</v>
      </c>
      <c r="S22" s="82">
        <v>8.0769588602235256</v>
      </c>
      <c r="T22" s="82">
        <v>10.657363307561541</v>
      </c>
      <c r="U22" s="83">
        <v>9.200486032966916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65" t="s">
        <v>5</v>
      </c>
      <c r="B25" s="66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65" t="s">
        <v>5</v>
      </c>
      <c r="N25" s="66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65" t="s">
        <v>6</v>
      </c>
      <c r="B26" s="66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65" t="s">
        <v>6</v>
      </c>
      <c r="N26" s="66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65" t="s">
        <v>10</v>
      </c>
      <c r="B27" s="66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65" t="s">
        <v>10</v>
      </c>
      <c r="N27" s="66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65" t="s">
        <v>14</v>
      </c>
      <c r="B28" s="67"/>
      <c r="C28" s="67"/>
      <c r="D28" s="67"/>
      <c r="E28" s="67"/>
      <c r="F28" s="67"/>
      <c r="G28" s="67"/>
      <c r="H28" s="67"/>
      <c r="I28" s="66"/>
      <c r="J28" s="50"/>
      <c r="K28" s="50"/>
      <c r="L28" s="1"/>
      <c r="M28" s="65" t="s">
        <v>14</v>
      </c>
      <c r="N28" s="67"/>
      <c r="O28" s="67"/>
      <c r="P28" s="67"/>
      <c r="Q28" s="67"/>
      <c r="R28" s="67"/>
      <c r="S28" s="67"/>
      <c r="T28" s="67"/>
      <c r="U28" s="66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65" t="s">
        <v>22</v>
      </c>
      <c r="B36" s="67"/>
      <c r="C36" s="68"/>
      <c r="D36" s="68"/>
      <c r="E36" s="68"/>
      <c r="F36" s="68"/>
      <c r="G36" s="68"/>
      <c r="H36" s="68"/>
      <c r="I36" s="69"/>
      <c r="J36" s="50"/>
      <c r="K36" s="50"/>
      <c r="L36" s="1"/>
      <c r="M36" s="65" t="s">
        <v>22</v>
      </c>
      <c r="N36" s="67"/>
      <c r="O36" s="68"/>
      <c r="P36" s="68"/>
      <c r="Q36" s="68"/>
      <c r="R36" s="68"/>
      <c r="S36" s="68"/>
      <c r="T36" s="68"/>
      <c r="U36" s="69"/>
      <c r="V36" s="1"/>
    </row>
    <row r="37" spans="1:22" ht="14.25" customHeight="1" thickBot="1" x14ac:dyDescent="0.25">
      <c r="A37" s="65" t="s">
        <v>7</v>
      </c>
      <c r="B37" s="66"/>
      <c r="C37" s="84">
        <v>93.403798109785029</v>
      </c>
      <c r="D37" s="85">
        <v>91.51700700493744</v>
      </c>
      <c r="E37" s="85">
        <v>89.749880462689262</v>
      </c>
      <c r="F37" s="85">
        <v>83.99730958119234</v>
      </c>
      <c r="G37" s="85">
        <v>74.394962965986878</v>
      </c>
      <c r="H37" s="85">
        <v>58.095582470498513</v>
      </c>
      <c r="I37" s="86">
        <v>44.434812706207254</v>
      </c>
      <c r="J37" s="50"/>
      <c r="K37" s="50"/>
      <c r="L37" s="1" t="str">
        <f t="shared" ref="L37:L39" si="6">"    "&amp;_xlfn.TEXTJOIN(", ",TRUE,C37:I37)&amp;","</f>
        <v xml:space="preserve">    93.403798109785, 91.5170070049374, 89.7498804626893, 83.9973095811923, 74.3949629659869, 58.0955824704985, 44.4348127062073,</v>
      </c>
      <c r="M37" s="65" t="s">
        <v>7</v>
      </c>
      <c r="N37" s="66"/>
      <c r="O37" s="84">
        <v>3.9553866501853321</v>
      </c>
      <c r="P37" s="85">
        <v>4.517630835861226</v>
      </c>
      <c r="Q37" s="85">
        <v>5.2125425794506972</v>
      </c>
      <c r="R37" s="85">
        <v>5.6477461387684551</v>
      </c>
      <c r="S37" s="85">
        <v>8.6090564713117175</v>
      </c>
      <c r="T37" s="85">
        <v>11.357157347254571</v>
      </c>
      <c r="U37" s="86">
        <v>9.3757621724255777</v>
      </c>
      <c r="V37" s="1" t="str">
        <f t="shared" si="4"/>
        <v xml:space="preserve">    3.95538665018533, 4.51763083586123, 5.2125425794507, 5.64774613876846, 8.60905647131172, 11.3571573472546, 9.37576217242558,</v>
      </c>
    </row>
    <row r="38" spans="1:22" ht="15.75" thickBot="1" x14ac:dyDescent="0.25">
      <c r="A38" s="65" t="s">
        <v>8</v>
      </c>
      <c r="B38" s="66"/>
      <c r="C38" s="87">
        <v>92.778947400409621</v>
      </c>
      <c r="D38" s="88">
        <v>91.450368996373655</v>
      </c>
      <c r="E38" s="88">
        <v>89.879480954542075</v>
      </c>
      <c r="F38" s="88">
        <v>84.748756470336986</v>
      </c>
      <c r="G38" s="88">
        <v>75.627608782580538</v>
      </c>
      <c r="H38" s="88">
        <v>58.300265665116903</v>
      </c>
      <c r="I38" s="89">
        <v>48.584106437626268</v>
      </c>
      <c r="J38" s="50"/>
      <c r="K38" s="50"/>
      <c r="L38" s="1" t="str">
        <f t="shared" si="6"/>
        <v xml:space="preserve">    92.7789474004096, 91.4503689963737, 89.8794809545421, 84.748756470337, 75.6276087825805, 58.3002656651169, 48.5841064376263,</v>
      </c>
      <c r="M38" s="65" t="s">
        <v>8</v>
      </c>
      <c r="N38" s="66"/>
      <c r="O38" s="87">
        <v>4.3743918396131134</v>
      </c>
      <c r="P38" s="88">
        <v>5.1779143655465321</v>
      </c>
      <c r="Q38" s="88">
        <v>4.8362705721377752</v>
      </c>
      <c r="R38" s="88">
        <v>5.6797782301447892</v>
      </c>
      <c r="S38" s="88">
        <v>9.0190902977959446</v>
      </c>
      <c r="T38" s="88">
        <v>11.000258135261941</v>
      </c>
      <c r="U38" s="89">
        <v>9.2918474149187738</v>
      </c>
      <c r="V38" s="1" t="str">
        <f t="shared" si="4"/>
        <v xml:space="preserve">    4.37439183961311, 5.17791436554653, 4.83627057213778, 5.67977823014479, 9.01909029779594, 11.0002581352619, 9.29184741491877,</v>
      </c>
    </row>
    <row r="39" spans="1:22" ht="15.75" thickBot="1" x14ac:dyDescent="0.25">
      <c r="A39" s="65" t="s">
        <v>23</v>
      </c>
      <c r="B39" s="66"/>
      <c r="C39" s="87">
        <v>92.492055194421354</v>
      </c>
      <c r="D39" s="88">
        <v>91.055738083245984</v>
      </c>
      <c r="E39" s="88">
        <v>89.241264887762341</v>
      </c>
      <c r="F39" s="88">
        <v>82.713601809643421</v>
      </c>
      <c r="G39" s="88">
        <v>73.133677048774885</v>
      </c>
      <c r="H39" s="88">
        <v>56.229205901331248</v>
      </c>
      <c r="I39" s="89">
        <v>43.695396708102962</v>
      </c>
      <c r="J39" s="50"/>
      <c r="K39" s="50"/>
      <c r="L39" s="1" t="str">
        <f t="shared" si="6"/>
        <v xml:space="preserve">    92.4920551944214, 91.055738083246, 89.2412648877623, 82.7136018096434, 73.1336770487749, 56.2292059013312, 43.695396708103,</v>
      </c>
      <c r="M39" s="65" t="s">
        <v>23</v>
      </c>
      <c r="N39" s="66"/>
      <c r="O39" s="87">
        <v>4.0986250609792014</v>
      </c>
      <c r="P39" s="88">
        <v>4.5926443490712341</v>
      </c>
      <c r="Q39" s="88">
        <v>4.8521598807380544</v>
      </c>
      <c r="R39" s="88">
        <v>5.8188919126166327</v>
      </c>
      <c r="S39" s="88">
        <v>9.5088987825376563</v>
      </c>
      <c r="T39" s="88">
        <v>11.32839542788332</v>
      </c>
      <c r="U39" s="89">
        <v>10.62887090695313</v>
      </c>
      <c r="V39" s="1" t="str">
        <f t="shared" si="4"/>
        <v xml:space="preserve">    4.0986250609792, 4.59264434907123, 4.85215988073805, 5.81889191261663, 9.50889878253766, 11.3283954278833, 10.6288709069531,</v>
      </c>
    </row>
    <row r="40" spans="1:22" ht="15.75" thickBot="1" x14ac:dyDescent="0.25">
      <c r="A40" s="65" t="s">
        <v>24</v>
      </c>
      <c r="B40" s="66"/>
      <c r="C40" s="90">
        <v>92.657174075741665</v>
      </c>
      <c r="D40" s="91">
        <v>91.208050814372243</v>
      </c>
      <c r="E40" s="91">
        <v>89.170455678091372</v>
      </c>
      <c r="F40" s="91">
        <v>84.474616062770011</v>
      </c>
      <c r="G40" s="91">
        <v>75.066668593640316</v>
      </c>
      <c r="H40" s="91">
        <v>58.520340993368222</v>
      </c>
      <c r="I40" s="92">
        <v>44.786141592049418</v>
      </c>
      <c r="J40" s="58"/>
      <c r="K40" s="58"/>
      <c r="L40" s="57"/>
      <c r="M40" s="65" t="s">
        <v>24</v>
      </c>
      <c r="N40" s="66"/>
      <c r="O40" s="90">
        <v>4.2589004392769629</v>
      </c>
      <c r="P40" s="91">
        <v>4.8517186601265534</v>
      </c>
      <c r="Q40" s="91">
        <v>5.6717673083496472</v>
      </c>
      <c r="R40" s="91">
        <v>5.3079507961921779</v>
      </c>
      <c r="S40" s="91">
        <v>7.7884705615072454</v>
      </c>
      <c r="T40" s="91">
        <v>10.595563377926201</v>
      </c>
      <c r="U40" s="92">
        <v>10.945843294214329</v>
      </c>
      <c r="V40" s="1"/>
    </row>
    <row r="41" spans="1:22" ht="15.75" customHeight="1" thickBot="1" x14ac:dyDescent="0.25">
      <c r="A41" s="65" t="s">
        <v>25</v>
      </c>
      <c r="B41" s="67"/>
      <c r="C41" s="71"/>
      <c r="D41" s="71"/>
      <c r="E41" s="71"/>
      <c r="F41" s="71"/>
      <c r="G41" s="71"/>
      <c r="H41" s="71"/>
      <c r="I41" s="72"/>
      <c r="J41" s="50"/>
      <c r="K41" s="50"/>
      <c r="L41" s="1"/>
      <c r="M41" s="65" t="s">
        <v>25</v>
      </c>
      <c r="N41" s="67"/>
      <c r="O41" s="71"/>
      <c r="P41" s="71"/>
      <c r="Q41" s="71"/>
      <c r="R41" s="71"/>
      <c r="S41" s="71"/>
      <c r="T41" s="71"/>
      <c r="U41" s="72"/>
      <c r="V41" s="1"/>
    </row>
    <row r="42" spans="1:22" ht="15.75" customHeight="1" thickBot="1" x14ac:dyDescent="0.25">
      <c r="A42" s="65" t="s">
        <v>7</v>
      </c>
      <c r="B42" s="66"/>
      <c r="C42" s="84">
        <v>92.603769819293618</v>
      </c>
      <c r="D42" s="85">
        <v>91.431947068352812</v>
      </c>
      <c r="E42" s="85">
        <v>90.390795042999585</v>
      </c>
      <c r="F42" s="85">
        <v>86.789562828222273</v>
      </c>
      <c r="G42" s="85">
        <v>80.615554033052248</v>
      </c>
      <c r="H42" s="85">
        <v>56.609578553133908</v>
      </c>
      <c r="I42" s="86">
        <v>41.27928062292434</v>
      </c>
      <c r="J42" s="50"/>
      <c r="K42" s="50"/>
      <c r="L42" s="1" t="str">
        <f t="shared" ref="L42:L44" si="7">"    "&amp;_xlfn.TEXTJOIN(", ",TRUE,C42:I42)&amp;","</f>
        <v xml:space="preserve">    92.6037698192936, 91.4319470683528, 90.3907950429996, 86.7895628282223, 80.6155540330522, 56.6095785531339, 41.2792806229243,</v>
      </c>
      <c r="M42" s="65" t="s">
        <v>7</v>
      </c>
      <c r="N42" s="66"/>
      <c r="O42" s="84">
        <v>3.708759274801273</v>
      </c>
      <c r="P42" s="85">
        <v>3.9640390541215931</v>
      </c>
      <c r="Q42" s="85">
        <v>3.7067998106756881</v>
      </c>
      <c r="R42" s="85">
        <v>3.667452632531309</v>
      </c>
      <c r="S42" s="85">
        <v>5.7548227051500218</v>
      </c>
      <c r="T42" s="85">
        <v>8.5366536877555248</v>
      </c>
      <c r="U42" s="86">
        <v>6.3187793027043018</v>
      </c>
      <c r="V42" s="1" t="str">
        <f t="shared" ref="V42:V44" si="8">"    "&amp;_xlfn.TEXTJOIN(", ",TRUE,O42:U42)&amp;","</f>
        <v xml:space="preserve">    3.70875927480127, 3.96403905412159, 3.70679981067569, 3.66745263253131, 5.75482270515002, 8.53665368775552, 6.3187793027043,</v>
      </c>
    </row>
    <row r="43" spans="1:22" ht="15.75" customHeight="1" thickBot="1" x14ac:dyDescent="0.25">
      <c r="A43" s="70" t="s">
        <v>8</v>
      </c>
      <c r="B43" s="69"/>
      <c r="C43" s="87">
        <v>91.377634404932721</v>
      </c>
      <c r="D43" s="88">
        <v>90.405373333245066</v>
      </c>
      <c r="E43" s="88">
        <v>89.371480308332721</v>
      </c>
      <c r="F43" s="88">
        <v>87.60989862639515</v>
      </c>
      <c r="G43" s="88">
        <v>85.537230701510694</v>
      </c>
      <c r="H43" s="88">
        <v>70.930708745421484</v>
      </c>
      <c r="I43" s="89">
        <v>44.097326232806537</v>
      </c>
      <c r="J43" s="50"/>
      <c r="K43" s="50"/>
      <c r="L43" s="1" t="str">
        <f t="shared" si="7"/>
        <v xml:space="preserve">    91.3776344049327, 90.4053733332451, 89.3714803083327, 87.6098986263952, 85.5372307015107, 70.9307087454215, 44.0973262328065,</v>
      </c>
      <c r="M43" s="65" t="s">
        <v>8</v>
      </c>
      <c r="N43" s="66"/>
      <c r="O43" s="87">
        <v>3.5684194304484111</v>
      </c>
      <c r="P43" s="88">
        <v>3.0347581440341318</v>
      </c>
      <c r="Q43" s="88">
        <v>2.754130276526872</v>
      </c>
      <c r="R43" s="88">
        <v>2.7768782002466339</v>
      </c>
      <c r="S43" s="88">
        <v>3.3184641894178428</v>
      </c>
      <c r="T43" s="88">
        <v>4.9795199020249923</v>
      </c>
      <c r="U43" s="89">
        <v>2.9223071611371929</v>
      </c>
      <c r="V43" s="1" t="str">
        <f t="shared" si="8"/>
        <v xml:space="preserve">    3.56841943044841, 3.03475814403413, 2.75413027652687, 2.77687820024663, 3.31846418941784, 4.97951990202499, 2.92230716113719,</v>
      </c>
    </row>
    <row r="44" spans="1:22" ht="15.75" customHeight="1" thickBot="1" x14ac:dyDescent="0.25">
      <c r="A44" s="65" t="s">
        <v>23</v>
      </c>
      <c r="B44" s="66"/>
      <c r="C44" s="87">
        <v>92.603715202692385</v>
      </c>
      <c r="D44" s="88">
        <v>91.484997502720319</v>
      </c>
      <c r="E44" s="88">
        <v>90.630171299324857</v>
      </c>
      <c r="F44" s="88">
        <v>85.342034697064548</v>
      </c>
      <c r="G44" s="88">
        <v>78.208607944308184</v>
      </c>
      <c r="H44" s="88">
        <v>58.188767254712552</v>
      </c>
      <c r="I44" s="89">
        <v>45.468919562576168</v>
      </c>
      <c r="J44" s="50"/>
      <c r="K44" s="50"/>
      <c r="L44" s="1" t="str">
        <f t="shared" si="7"/>
        <v xml:space="preserve">    92.6037152026924, 91.4849975027203, 90.6301712993249, 85.3420346970645, 78.2086079443082, 58.1887672547126, 45.4689195625762,</v>
      </c>
      <c r="M44" s="65" t="s">
        <v>23</v>
      </c>
      <c r="N44" s="66"/>
      <c r="O44" s="87">
        <v>4.0727132923350373</v>
      </c>
      <c r="P44" s="88">
        <v>4.4231285957629458</v>
      </c>
      <c r="Q44" s="88">
        <v>4.3011534303531356</v>
      </c>
      <c r="R44" s="88">
        <v>4.8453894583465429</v>
      </c>
      <c r="S44" s="88">
        <v>7.5589700135942426</v>
      </c>
      <c r="T44" s="88">
        <v>10.3740336621021</v>
      </c>
      <c r="U44" s="89">
        <v>10.707618741543239</v>
      </c>
      <c r="V44" s="1" t="str">
        <f t="shared" si="8"/>
        <v xml:space="preserve">    4.07271329233504, 4.42312859576295, 4.30115343035314, 4.84538945834654, 7.55897001359424, 10.3740336621021, 10.7076187415432,</v>
      </c>
    </row>
    <row r="45" spans="1:22" ht="15.75" customHeight="1" thickBot="1" x14ac:dyDescent="0.25">
      <c r="A45" s="65" t="s">
        <v>24</v>
      </c>
      <c r="B45" s="66"/>
      <c r="C45" s="90">
        <v>92.692685851985146</v>
      </c>
      <c r="D45" s="91">
        <v>91.028008929063319</v>
      </c>
      <c r="E45" s="91">
        <v>89.101176850288709</v>
      </c>
      <c r="F45" s="91">
        <v>84.121695311135312</v>
      </c>
      <c r="G45" s="91">
        <v>75.514536359946376</v>
      </c>
      <c r="H45" s="91">
        <v>58.551851548300363</v>
      </c>
      <c r="I45" s="92">
        <v>43.528644478603361</v>
      </c>
      <c r="J45" s="50"/>
      <c r="K45" s="50"/>
      <c r="L45" s="1"/>
      <c r="M45" s="65" t="s">
        <v>24</v>
      </c>
      <c r="N45" s="66"/>
      <c r="O45" s="90">
        <v>4.3508377678439567</v>
      </c>
      <c r="P45" s="91">
        <v>5.1455197984597092</v>
      </c>
      <c r="Q45" s="91">
        <v>5.0319449257944937</v>
      </c>
      <c r="R45" s="91">
        <v>5.4881092234662896</v>
      </c>
      <c r="S45" s="91">
        <v>8.3963724907401343</v>
      </c>
      <c r="T45" s="91">
        <v>11.26477476806841</v>
      </c>
      <c r="U45" s="92">
        <v>10.478269846537319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  <mergeCell ref="A36:I36"/>
    <mergeCell ref="M13:U13"/>
    <mergeCell ref="M36:U36"/>
    <mergeCell ref="A17:B17"/>
    <mergeCell ref="M16:N16"/>
    <mergeCell ref="M17:N17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  <mergeCell ref="M5:U5"/>
    <mergeCell ref="M18:U18"/>
    <mergeCell ref="A13:I13"/>
  </mergeCells>
  <phoneticPr fontId="1" type="noConversion"/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2026-04-09T06:13:05Z</dcterms:modified>
</cp:coreProperties>
</file>