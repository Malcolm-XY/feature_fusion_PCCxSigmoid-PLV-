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F:\RnD_Repo\Research_Engineering\feature_fusion_PCCxSigmoid-PLV-\results_cnn_evaluation(stress_test)_PCCxSigmoid-PLV-\"/>
    </mc:Choice>
  </mc:AlternateContent>
  <xr:revisionPtr revIDLastSave="0" documentId="13_ncr:1_{17802948-9E14-4163-8A3D-927F77FD017E}" xr6:coauthVersionLast="47" xr6:coauthVersionMax="47" xr10:uidLastSave="{00000000-0000-0000-0000-000000000000}"/>
  <bookViews>
    <workbookView xWindow="-28920" yWindow="-15" windowWidth="29040" windowHeight="16440" tabRatio="660" xr2:uid="{00000000-000D-0000-FFFF-FFFF00000000}"/>
  </bookViews>
  <sheets>
    <sheet name="fullldata_20260317" sheetId="5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4" i="5" l="1" a="1"/>
  <c r="K4" i="5" s="1"/>
  <c r="J4" i="5" a="1"/>
  <c r="J4" i="5" s="1"/>
  <c r="K11" i="5" a="1"/>
  <c r="K11" i="5" s="1"/>
  <c r="K10" i="5" a="1"/>
  <c r="K10" i="5" s="1"/>
  <c r="K9" i="5" a="1"/>
  <c r="K9" i="5" s="1"/>
  <c r="K8" i="5" a="1"/>
  <c r="K8" i="5" s="1"/>
  <c r="K7" i="5" a="1"/>
  <c r="K7" i="5" s="1"/>
  <c r="K12" i="5" a="1"/>
  <c r="K12" i="5" s="1"/>
  <c r="J11" i="5" a="1"/>
  <c r="J11" i="5" s="1"/>
  <c r="J10" i="5" a="1"/>
  <c r="J10" i="5" s="1"/>
  <c r="J9" i="5" a="1"/>
  <c r="J9" i="5" s="1"/>
  <c r="J8" i="5" a="1"/>
  <c r="J8" i="5" s="1"/>
  <c r="J7" i="5" a="1"/>
  <c r="J7" i="5" s="1"/>
  <c r="J12" i="5" a="1"/>
  <c r="J12" i="5" s="1"/>
  <c r="K13" i="5" a="1"/>
  <c r="K13" i="5" s="1"/>
  <c r="J13" i="5" a="1"/>
  <c r="J13" i="5" s="1"/>
  <c r="V37" i="5"/>
  <c r="V36" i="5"/>
  <c r="V35" i="5"/>
  <c r="V34" i="5"/>
  <c r="V25" i="5"/>
  <c r="V22" i="5"/>
  <c r="V21" i="5"/>
  <c r="V18" i="5"/>
  <c r="V17" i="5"/>
  <c r="V16" i="5"/>
  <c r="V15" i="5"/>
  <c r="V6" i="5"/>
  <c r="V3" i="5"/>
  <c r="V2" i="5"/>
  <c r="L3" i="5"/>
  <c r="L6" i="5"/>
  <c r="L15" i="5"/>
  <c r="L16" i="5"/>
  <c r="L17" i="5"/>
  <c r="L18" i="5"/>
  <c r="K16" i="5" a="1"/>
  <c r="K16" i="5" s="1"/>
  <c r="J16" i="5" a="1"/>
  <c r="J16" i="5" s="1"/>
  <c r="L37" i="5"/>
  <c r="L22" i="5"/>
  <c r="J18" i="5" a="1"/>
  <c r="J18" i="5" s="1"/>
  <c r="J17" i="5" a="1"/>
  <c r="J17" i="5" s="1"/>
  <c r="J15" i="5" a="1"/>
  <c r="J15" i="5" s="1"/>
  <c r="J6" i="5" a="1"/>
  <c r="J6" i="5" s="1"/>
  <c r="J3" i="5" a="1"/>
  <c r="J3" i="5" s="1"/>
  <c r="J2" i="5" a="1"/>
  <c r="J2" i="5" s="1"/>
  <c r="K18" i="5" a="1"/>
  <c r="K18" i="5" s="1"/>
  <c r="K17" i="5" a="1"/>
  <c r="K17" i="5" s="1"/>
  <c r="K15" i="5" a="1"/>
  <c r="K15" i="5" s="1"/>
  <c r="K6" i="5" a="1"/>
  <c r="K6" i="5" s="1"/>
  <c r="K3" i="5" a="1"/>
  <c r="K3" i="5" s="1"/>
  <c r="K2" i="5" a="1"/>
  <c r="K2" i="5" s="1"/>
  <c r="L36" i="5"/>
  <c r="L35" i="5"/>
  <c r="L34" i="5"/>
  <c r="L25" i="5"/>
  <c r="L21" i="5"/>
  <c r="L2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<sst xmlns="http://schemas.openxmlformats.org/spreadsheetml/2006/main" count="106" uniqueCount="24">
  <si>
    <t>Accuracy</t>
    <phoneticPr fontId="1" type="noConversion"/>
  </si>
  <si>
    <t>NRR</t>
    <phoneticPr fontId="1" type="noConversion"/>
  </si>
  <si>
    <t>Original FN</t>
    <phoneticPr fontId="1" type="noConversion"/>
  </si>
  <si>
    <t>Accuracy_Std</t>
    <phoneticPr fontId="1" type="noConversion"/>
  </si>
  <si>
    <t>F1 Score</t>
    <phoneticPr fontId="1" type="noConversion"/>
  </si>
  <si>
    <t>F1 Score_Std</t>
    <phoneticPr fontId="1" type="noConversion"/>
  </si>
  <si>
    <t>Original FN, PCC</t>
    <phoneticPr fontId="1" type="noConversion"/>
  </si>
  <si>
    <t>Original FN, PLV</t>
    <phoneticPr fontId="1" type="noConversion"/>
  </si>
  <si>
    <t>PG-AC</t>
    <phoneticPr fontId="1" type="noConversion"/>
  </si>
  <si>
    <t>tau=0.3, k=100</t>
    <phoneticPr fontId="1" type="noConversion"/>
  </si>
  <si>
    <t>Additive Fusion</t>
    <phoneticPr fontId="1" type="noConversion"/>
  </si>
  <si>
    <t>Multipicative Fusion</t>
    <phoneticPr fontId="1" type="noConversion"/>
  </si>
  <si>
    <t>Splicing Fusion</t>
    <phoneticPr fontId="1" type="noConversion"/>
  </si>
  <si>
    <t>Normalized</t>
    <phoneticPr fontId="1" type="noConversion"/>
  </si>
  <si>
    <t>UnNormalized</t>
    <phoneticPr fontId="1" type="noConversion"/>
  </si>
  <si>
    <t>AUC</t>
    <phoneticPr fontId="1" type="noConversion"/>
  </si>
  <si>
    <t>k=10, t=43.93..</t>
    <phoneticPr fontId="1" type="noConversion"/>
  </si>
  <si>
    <t>k=20, t=43.93..</t>
    <phoneticPr fontId="1" type="noConversion"/>
  </si>
  <si>
    <t>k=50, t=43.93..</t>
    <phoneticPr fontId="1" type="noConversion"/>
  </si>
  <si>
    <t>k=100, t=43.93..</t>
    <phoneticPr fontId="1" type="noConversion"/>
  </si>
  <si>
    <t>k=200, t=43.93..</t>
    <phoneticPr fontId="1" type="noConversion"/>
  </si>
  <si>
    <t>k=500, t=43.93..</t>
    <phoneticPr fontId="1" type="noConversion"/>
  </si>
  <si>
    <t>Heaviside, t=43.93</t>
    <phoneticPr fontId="1" type="noConversion"/>
  </si>
  <si>
    <t>Original FN, PLI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</si>
</sst>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Arial"/>
      <family val="2"/>
    </font>
    <font>
      <b/>
      <sz val="11"/>
      <name val="Arial"/>
      <family val="2"/>
    </font>
    <font>
      <b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2" fillId="0" borderId="0" xfId="0" applyFont="1"/>
    <xf numFmtId="0" fontId="3" fillId="0" borderId="0" xfId="0" applyFont="1" applyAlignment="1">
      <alignment vertical="top"/>
    </xf>
    <xf numFmtId="0" fontId="4" fillId="2" borderId="8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 wrapText="1"/>
    </xf>
    <xf numFmtId="0" fontId="4" fillId="3" borderId="11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3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2" fillId="3" borderId="8" xfId="0" applyFont="1" applyFill="1" applyBorder="1"/>
    <xf numFmtId="0" fontId="2" fillId="3" borderId="10" xfId="0" applyFont="1" applyFill="1" applyBorder="1"/>
    <xf numFmtId="0" fontId="2" fillId="3" borderId="9" xfId="0" applyFont="1" applyFill="1" applyBorder="1"/>
    <xf numFmtId="0" fontId="2" fillId="2" borderId="10" xfId="0" applyFont="1" applyFill="1" applyBorder="1"/>
    <xf numFmtId="0" fontId="2" fillId="2" borderId="9" xfId="0" applyFont="1" applyFill="1" applyBorder="1"/>
    <xf numFmtId="0" fontId="2" fillId="2" borderId="0" xfId="0" applyFont="1" applyFill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29D5C-8639-4163-9432-7C70C26E1499}">
  <dimension ref="A1:V49"/>
  <sheetViews>
    <sheetView tabSelected="1" zoomScaleNormal="100" workbookViewId="0">
      <selection activeCell="G13" sqref="G13"/>
    </sheetView>
  </sheetViews>
  <sheetFormatPr defaultRowHeight="14.25" x14ac:dyDescent="0.2"/>
  <cols>
    <col min="1" max="2" width="15" style="1" customWidth="1"/>
    <col min="3" max="12" width="9" style="1"/>
    <col min="13" max="14" width="15" style="1" customWidth="1"/>
    <col min="15" max="16384" width="9" style="1"/>
  </cols>
  <sheetData>
    <row r="1" spans="1:22" ht="15.75" thickBot="1" x14ac:dyDescent="0.25">
      <c r="A1" s="3" t="s">
        <v>0</v>
      </c>
      <c r="B1" s="4" t="s">
        <v>1</v>
      </c>
      <c r="C1" s="12">
        <v>1</v>
      </c>
      <c r="D1" s="12">
        <v>0.75</v>
      </c>
      <c r="E1" s="12">
        <v>0.5</v>
      </c>
      <c r="F1" s="12">
        <v>0.3</v>
      </c>
      <c r="G1" s="12">
        <v>0.2</v>
      </c>
      <c r="H1" s="12">
        <v>0.1</v>
      </c>
      <c r="I1" s="13">
        <v>0.05</v>
      </c>
      <c r="J1" s="16" t="s">
        <v>15</v>
      </c>
      <c r="K1" s="16" t="s">
        <v>15</v>
      </c>
      <c r="L1" s="21"/>
      <c r="M1" s="3" t="s">
        <v>3</v>
      </c>
      <c r="N1" s="4" t="s">
        <v>1</v>
      </c>
      <c r="O1" s="5">
        <v>1</v>
      </c>
      <c r="P1" s="12">
        <v>0.75</v>
      </c>
      <c r="Q1" s="12">
        <v>0.5</v>
      </c>
      <c r="R1" s="12">
        <v>0.3</v>
      </c>
      <c r="S1" s="12">
        <v>0.2</v>
      </c>
      <c r="T1" s="12">
        <v>0.1</v>
      </c>
      <c r="U1" s="13">
        <v>0.05</v>
      </c>
      <c r="V1" s="21"/>
    </row>
    <row r="2" spans="1:22" ht="15.75" thickBot="1" x14ac:dyDescent="0.25">
      <c r="A2" s="50" t="s">
        <v>6</v>
      </c>
      <c r="B2" s="51"/>
      <c r="C2" s="18">
        <v>93.101364775358491</v>
      </c>
      <c r="D2" s="19">
        <v>91.326663725464783</v>
      </c>
      <c r="E2" s="19">
        <v>89.722561037148537</v>
      </c>
      <c r="F2" s="19">
        <v>83.857204647099024</v>
      </c>
      <c r="G2" s="19">
        <v>76.242949045118635</v>
      </c>
      <c r="H2" s="19">
        <v>60.40277741733636</v>
      </c>
      <c r="I2" s="20">
        <v>47.740900296138662</v>
      </c>
      <c r="J2" s="21" cm="1">
        <f t="array" ref="J2">-SUMPRODUCT((D1:H1-C1:G1)*(C2:G2+D2:H2)/2)</f>
        <v>77.879927234087958</v>
      </c>
      <c r="K2" s="21" cm="1">
        <f t="array" ref="K2">-SUMPRODUCT((D1:I1-C1:H1)*(C2:H2+D2:I2)/2)</f>
        <v>80.583519176924838</v>
      </c>
      <c r="L2" s="21" t="str">
        <f>"    "&amp;_xlfn.TEXTJOIN(", ",TRUE,C2:I2)&amp;","</f>
        <v xml:space="preserve">    93.1013647753585, 91.3266637254648, 89.7225610371485, 83.857204647099, 76.2429490451186, 60.4027774173364, 47.7409002961387,</v>
      </c>
      <c r="M2" s="50" t="s">
        <v>6</v>
      </c>
      <c r="N2" s="51"/>
      <c r="O2" s="18">
        <v>3.4649270444699574</v>
      </c>
      <c r="P2" s="19">
        <v>4.4611797621615326</v>
      </c>
      <c r="Q2" s="19">
        <v>4.7712065248821434</v>
      </c>
      <c r="R2" s="19">
        <v>5.3965689103010375</v>
      </c>
      <c r="S2" s="19">
        <v>7.9323757260741923</v>
      </c>
      <c r="T2" s="19">
        <v>9.9900413492801565</v>
      </c>
      <c r="U2" s="20">
        <v>9.7565309936118432</v>
      </c>
      <c r="V2" s="21" t="str">
        <f>"    "&amp;_xlfn.TEXTJOIN(", ",TRUE,O2:U2)&amp;","</f>
        <v xml:space="preserve">    3.46492704446996, 4.46117976216153, 4.77120652488214, 5.39656891030104, 7.93237572607419, 9.99004134928016, 9.75653099361184,</v>
      </c>
    </row>
    <row r="3" spans="1:22" ht="15.75" thickBot="1" x14ac:dyDescent="0.25">
      <c r="A3" s="50" t="s">
        <v>7</v>
      </c>
      <c r="B3" s="51"/>
      <c r="C3" s="18">
        <v>93.273358766079312</v>
      </c>
      <c r="D3" s="19">
        <v>91.615587793435367</v>
      </c>
      <c r="E3" s="19">
        <v>90.62053304959386</v>
      </c>
      <c r="F3" s="19">
        <v>86.59751381932368</v>
      </c>
      <c r="G3" s="19">
        <v>78.22435026831262</v>
      </c>
      <c r="H3" s="19">
        <v>60.854992978601317</v>
      </c>
      <c r="I3" s="20">
        <v>48.743933771053378</v>
      </c>
      <c r="J3" s="21" cm="1">
        <f t="array" ref="J3">-SUMPRODUCT((D1:H1-C1:G1)*(C3:G3+D3:H3)/2)</f>
        <v>78.807498478937248</v>
      </c>
      <c r="K3" s="21" cm="1">
        <f t="array" ref="K3">-SUMPRODUCT((D1:I1-C1:H1)*(C3:H3+D3:I3)/2)</f>
        <v>81.54747164767862</v>
      </c>
      <c r="L3" s="21" t="str">
        <f t="shared" ref="L3:L18" si="0">"    "&amp;_xlfn.TEXTJOIN(", ",TRUE,C3:I3)&amp;","</f>
        <v xml:space="preserve">    93.2733587660793, 91.6155877934354, 90.6205330495939, 86.5975138193237, 78.2243502683126, 60.8549929786013, 48.7439337710534,</v>
      </c>
      <c r="M3" s="50" t="s">
        <v>7</v>
      </c>
      <c r="N3" s="51"/>
      <c r="O3" s="18">
        <v>3.4672469457762647</v>
      </c>
      <c r="P3" s="19">
        <v>4.1066373858138912</v>
      </c>
      <c r="Q3" s="19">
        <v>4.4433442831389707</v>
      </c>
      <c r="R3" s="19">
        <v>4.8572661690244194</v>
      </c>
      <c r="S3" s="19">
        <v>6.7334065011993722</v>
      </c>
      <c r="T3" s="19">
        <v>9.3055912140758643</v>
      </c>
      <c r="U3" s="20">
        <v>9.1853207799272329</v>
      </c>
      <c r="V3" s="21" t="str">
        <f t="shared" ref="V3:V18" si="1">"    "&amp;_xlfn.TEXTJOIN(", ",TRUE,O3:U3)&amp;","</f>
        <v xml:space="preserve">    3.46724694577626, 4.10663738581389, 4.44334428313897, 4.85726616902442, 6.73340650119937, 9.30559121407586, 9.18532077992723,</v>
      </c>
    </row>
    <row r="4" spans="1:22" ht="15.75" thickBot="1" x14ac:dyDescent="0.25">
      <c r="A4" s="50" t="s">
        <v>23</v>
      </c>
      <c r="B4" s="51"/>
      <c r="C4" s="27">
        <v>87.593900000000005</v>
      </c>
      <c r="D4" s="62">
        <v>87.663716814159287</v>
      </c>
      <c r="E4" s="62">
        <v>88.112094395280209</v>
      </c>
      <c r="F4" s="62">
        <v>87.970025692263789</v>
      </c>
      <c r="G4" s="62">
        <v>87.461708146264243</v>
      </c>
      <c r="H4" s="62">
        <v>75.251363189416281</v>
      </c>
      <c r="I4" s="63">
        <v>47.720683858280204</v>
      </c>
      <c r="J4" s="21" cm="1">
        <f t="array" ref="J4">-SUMPRODUCT((D1:H1-C1:G1)*(C4:G4+D4:H4)/2)</f>
        <v>78.394630770414679</v>
      </c>
      <c r="K4" s="21" cm="1">
        <f t="array" ref="K4">-SUMPRODUCT((D1:I1-C1:H1)*(C4:H4+D4:I4)/2)</f>
        <v>81.468931946607086</v>
      </c>
      <c r="L4" s="21"/>
      <c r="M4" s="50" t="s">
        <v>23</v>
      </c>
      <c r="N4" s="51"/>
      <c r="O4" s="64">
        <v>2.4529187882918819</v>
      </c>
      <c r="P4" s="64">
        <v>2.16276566139488</v>
      </c>
      <c r="Q4" s="64">
        <v>2.2973398804747198</v>
      </c>
      <c r="R4" s="64">
        <v>2.134165319654592</v>
      </c>
      <c r="S4" s="64">
        <v>2.3834878752826651</v>
      </c>
      <c r="T4" s="64">
        <v>3.787986046410059</v>
      </c>
      <c r="U4" s="64">
        <v>3.7419646549723868</v>
      </c>
      <c r="V4" s="21"/>
    </row>
    <row r="5" spans="1:22" ht="15.75" thickBot="1" x14ac:dyDescent="0.25">
      <c r="A5" s="5"/>
      <c r="B5" s="13"/>
      <c r="C5" s="18"/>
      <c r="D5" s="19"/>
      <c r="E5" s="19"/>
      <c r="F5" s="19"/>
      <c r="G5" s="19"/>
      <c r="H5" s="19"/>
      <c r="I5" s="20"/>
      <c r="J5" s="21"/>
      <c r="K5" s="21"/>
      <c r="L5" s="21"/>
      <c r="M5" s="5"/>
      <c r="N5" s="13"/>
      <c r="O5" s="18"/>
      <c r="P5" s="19"/>
      <c r="Q5" s="19"/>
      <c r="R5" s="19"/>
      <c r="S5" s="19"/>
      <c r="T5" s="19"/>
      <c r="U5" s="20"/>
      <c r="V5" s="21"/>
    </row>
    <row r="6" spans="1:22" ht="15.75" customHeight="1" thickBot="1" x14ac:dyDescent="0.25">
      <c r="A6" s="24" t="s">
        <v>9</v>
      </c>
      <c r="B6" s="22" t="s">
        <v>8</v>
      </c>
      <c r="C6" s="27">
        <v>93.36775404631527</v>
      </c>
      <c r="D6" s="28">
        <v>92.751321378212623</v>
      </c>
      <c r="E6" s="28">
        <v>91.875157512896592</v>
      </c>
      <c r="F6" s="28">
        <v>87.299731543237101</v>
      </c>
      <c r="G6" s="28">
        <v>82.189892069423905</v>
      </c>
      <c r="H6" s="28">
        <v>65.214707739686332</v>
      </c>
      <c r="I6" s="29">
        <v>52.399957323736928</v>
      </c>
      <c r="J6" s="21" cm="1">
        <f t="array" ref="J6">-SUMPRODUCT((D1:H1-C1:G1)*(C6:G6+D6:H6)/2)</f>
        <v>80.105394366156574</v>
      </c>
      <c r="K6" s="21" cm="1">
        <f t="array" ref="K6">-SUMPRODUCT((D1:I1-C1:H1)*(C6:H6+D6:I6)/2)</f>
        <v>83.04576099274216</v>
      </c>
      <c r="L6" s="21" t="str">
        <f t="shared" si="0"/>
        <v xml:space="preserve">    93.3677540463153, 92.7513213782126, 91.8751575128966, 87.2997315432371, 82.1898920694239, 65.2147077396863, 52.3999573237369,</v>
      </c>
      <c r="M6" s="5" t="s">
        <v>9</v>
      </c>
      <c r="N6" s="14" t="s">
        <v>8</v>
      </c>
      <c r="O6" s="27">
        <v>3.4526415829858039</v>
      </c>
      <c r="P6" s="28">
        <v>3.3433998054438892</v>
      </c>
      <c r="Q6" s="28">
        <v>3.7058114907824482</v>
      </c>
      <c r="R6" s="28">
        <v>4.4702152236483466</v>
      </c>
      <c r="S6" s="28">
        <v>5.7554909072366076</v>
      </c>
      <c r="T6" s="28">
        <v>8.7174631829379283</v>
      </c>
      <c r="U6" s="29">
        <v>9.5214543100253888</v>
      </c>
      <c r="V6" s="21" t="str">
        <f t="shared" si="1"/>
        <v xml:space="preserve">    3.4526415829858, 3.34339980544389, 3.70581149078245, 4.47021522364835, 5.75549090723661, 8.71746318293793, 9.52145431002539,</v>
      </c>
    </row>
    <row r="7" spans="1:22" ht="15.75" customHeight="1" thickBot="1" x14ac:dyDescent="0.25">
      <c r="A7" s="24" t="s">
        <v>16</v>
      </c>
      <c r="B7" s="22" t="s">
        <v>8</v>
      </c>
      <c r="C7" s="18">
        <v>93.652906455361489</v>
      </c>
      <c r="D7" s="19">
        <v>92.633292675542179</v>
      </c>
      <c r="E7" s="19">
        <v>91.021242974996909</v>
      </c>
      <c r="F7" s="19">
        <v>85.55528738714581</v>
      </c>
      <c r="G7" s="19">
        <v>75.676415885950561</v>
      </c>
      <c r="H7" s="19">
        <v>58.783432382633073</v>
      </c>
      <c r="I7" s="20">
        <v>49.131837934007507</v>
      </c>
      <c r="J7" s="21" cm="1">
        <f t="array" ref="J7">-SUMPRODUCT((D1:H1-C1:G1)*(C7:G7+D7:H7)/2)</f>
        <v>78.684822460978609</v>
      </c>
      <c r="K7" s="21" cm="1">
        <f t="array" ref="K7">-SUMPRODUCT((D1:I1-C1:H1)*(C17:H17+D17:I17)/2)</f>
        <v>79.777238989956672</v>
      </c>
      <c r="L7" s="21"/>
      <c r="M7" s="24" t="s">
        <v>16</v>
      </c>
      <c r="N7" s="22" t="s">
        <v>8</v>
      </c>
      <c r="O7" s="18">
        <v>3.4169226859930029</v>
      </c>
      <c r="P7" s="19">
        <v>3.9784259062002101</v>
      </c>
      <c r="Q7" s="19">
        <v>3.9538919670537789</v>
      </c>
      <c r="R7" s="19">
        <v>4.9521142130251459</v>
      </c>
      <c r="S7" s="19">
        <v>8.6474090910971277</v>
      </c>
      <c r="T7" s="19">
        <v>11.13262505009442</v>
      </c>
      <c r="U7" s="20">
        <v>9.5044831158839731</v>
      </c>
      <c r="V7" s="21"/>
    </row>
    <row r="8" spans="1:22" ht="15.75" customHeight="1" thickBot="1" x14ac:dyDescent="0.25">
      <c r="A8" s="24" t="s">
        <v>17</v>
      </c>
      <c r="B8" s="22" t="s">
        <v>8</v>
      </c>
      <c r="C8" s="30">
        <v>93.638162959887211</v>
      </c>
      <c r="D8" s="21">
        <v>92.570339420467917</v>
      </c>
      <c r="E8" s="21">
        <v>91.277447613445332</v>
      </c>
      <c r="F8" s="21">
        <v>86.678460309633593</v>
      </c>
      <c r="G8" s="21">
        <v>78.237680833455883</v>
      </c>
      <c r="H8" s="21">
        <v>59.572441514776649</v>
      </c>
      <c r="I8" s="31">
        <v>48.433688872741108</v>
      </c>
      <c r="J8" s="21" cm="1">
        <f t="array" ref="J8">-SUMPRODUCT((D1:H1-C1:G1)*(C8:G8+D8:H8)/2)</f>
        <v>79.188940143657533</v>
      </c>
      <c r="K8" s="21" cm="1">
        <f t="array" ref="K8">-SUMPRODUCT((D1:I1-C1:H1)*(C8:H8+D8:I8)/2)</f>
        <v>81.88909340334547</v>
      </c>
      <c r="L8" s="21"/>
      <c r="M8" s="24" t="s">
        <v>17</v>
      </c>
      <c r="N8" s="22" t="s">
        <v>8</v>
      </c>
      <c r="O8" s="30">
        <v>3.3703526356534339</v>
      </c>
      <c r="P8" s="21">
        <v>3.6422696356878719</v>
      </c>
      <c r="Q8" s="21">
        <v>3.648656856759986</v>
      </c>
      <c r="R8" s="21">
        <v>4.3567539371652027</v>
      </c>
      <c r="S8" s="21">
        <v>7.4113068927772208</v>
      </c>
      <c r="T8" s="21">
        <v>11.18465095152629</v>
      </c>
      <c r="U8" s="31">
        <v>9.6247390966441699</v>
      </c>
      <c r="V8" s="21"/>
    </row>
    <row r="9" spans="1:22" ht="15.75" customHeight="1" thickBot="1" x14ac:dyDescent="0.25">
      <c r="A9" s="24" t="s">
        <v>18</v>
      </c>
      <c r="B9" s="22" t="s">
        <v>8</v>
      </c>
      <c r="C9" s="30">
        <v>93.489675516224182</v>
      </c>
      <c r="D9" s="21">
        <v>92.402197827547525</v>
      </c>
      <c r="E9" s="21">
        <v>91.635276545068152</v>
      </c>
      <c r="F9" s="21">
        <v>87.454487783919689</v>
      </c>
      <c r="G9" s="21">
        <v>81.317831469130368</v>
      </c>
      <c r="H9" s="21">
        <v>62.973800234719448</v>
      </c>
      <c r="I9" s="31">
        <v>48.525439954786229</v>
      </c>
      <c r="J9" s="21" cm="1">
        <f t="array" ref="J9">-SUMPRODUCT((D1:H1-C1:G1)*(C9:G9+D9:H9)/2)</f>
        <v>79.803342445292202</v>
      </c>
      <c r="K9" s="21" cm="1">
        <f t="array" ref="K9">-SUMPRODUCT((D1:I1-C1:H1)*(C9:H9+D9:I9)/2)</f>
        <v>82.590823450029845</v>
      </c>
      <c r="L9" s="21"/>
      <c r="M9" s="24" t="s">
        <v>18</v>
      </c>
      <c r="N9" s="22" t="s">
        <v>8</v>
      </c>
      <c r="O9" s="30">
        <v>3.2865394857383841</v>
      </c>
      <c r="P9" s="21">
        <v>3.6809107535141301</v>
      </c>
      <c r="Q9" s="21">
        <v>3.5805089784188882</v>
      </c>
      <c r="R9" s="21">
        <v>3.8876186700800468</v>
      </c>
      <c r="S9" s="21">
        <v>5.9270382488490716</v>
      </c>
      <c r="T9" s="21">
        <v>8.5281010332964087</v>
      </c>
      <c r="U9" s="31">
        <v>9.775188743685403</v>
      </c>
      <c r="V9" s="21"/>
    </row>
    <row r="10" spans="1:22" ht="15.75" customHeight="1" thickBot="1" x14ac:dyDescent="0.25">
      <c r="A10" s="24" t="s">
        <v>19</v>
      </c>
      <c r="B10" s="22" t="s">
        <v>8</v>
      </c>
      <c r="C10" s="30">
        <v>93.412007600988474</v>
      </c>
      <c r="D10" s="21">
        <v>92.767962237274247</v>
      </c>
      <c r="E10" s="21">
        <v>91.741471235333634</v>
      </c>
      <c r="F10" s="21">
        <v>88.022831800736455</v>
      </c>
      <c r="G10" s="21">
        <v>82.365450104816361</v>
      </c>
      <c r="H10" s="21">
        <v>65.498758639780618</v>
      </c>
      <c r="I10" s="31">
        <v>51.587790551821392</v>
      </c>
      <c r="J10" s="21" cm="1">
        <f t="array" ref="J10">-SUMPRODUCT((D1:H1-C1:G1)*(C10:G10+D10:H10)/2)</f>
        <v>80.225230249973322</v>
      </c>
      <c r="K10" s="21" cm="1">
        <f t="array" ref="K10">-SUMPRODUCT((D1:I1-C1:H1)*(C10:H10+D10:I10)/2)</f>
        <v>83.152393979763374</v>
      </c>
      <c r="L10" s="21"/>
      <c r="M10" s="24" t="s">
        <v>19</v>
      </c>
      <c r="N10" s="22" t="s">
        <v>8</v>
      </c>
      <c r="O10" s="30">
        <v>3.1862196034095831</v>
      </c>
      <c r="P10" s="21">
        <v>3.2915087252119219</v>
      </c>
      <c r="Q10" s="21">
        <v>3.6157183348108362</v>
      </c>
      <c r="R10" s="21">
        <v>3.8250563947767628</v>
      </c>
      <c r="S10" s="21">
        <v>5.787244427178897</v>
      </c>
      <c r="T10" s="21">
        <v>8.5783438854617415</v>
      </c>
      <c r="U10" s="31">
        <v>9.1870516303344161</v>
      </c>
      <c r="V10" s="21"/>
    </row>
    <row r="11" spans="1:22" ht="15.75" customHeight="1" thickBot="1" x14ac:dyDescent="0.25">
      <c r="A11" s="24" t="s">
        <v>20</v>
      </c>
      <c r="B11" s="22" t="s">
        <v>8</v>
      </c>
      <c r="C11" s="30">
        <v>93.336288952903274</v>
      </c>
      <c r="D11" s="21">
        <v>92.468060565691161</v>
      </c>
      <c r="E11" s="21">
        <v>91.788680409576784</v>
      </c>
      <c r="F11" s="21">
        <v>88.056176956548072</v>
      </c>
      <c r="G11" s="21">
        <v>82.697843406949886</v>
      </c>
      <c r="H11" s="21">
        <v>64.833827858949178</v>
      </c>
      <c r="I11" s="31">
        <v>52.251902409767098</v>
      </c>
      <c r="J11" s="21" cm="1">
        <f t="array" ref="J11">-SUMPRODUCT((D1:H1-C1:G1)*(C11:G11+D11:H11)/2)</f>
        <v>80.156406629815137</v>
      </c>
      <c r="K11" s="21" cm="1">
        <f t="array" ref="K11">-SUMPRODUCT((D1:I1-C1:H1)*(C11:H11+D11:I11)/2)</f>
        <v>83.083549886533049</v>
      </c>
      <c r="L11" s="21"/>
      <c r="M11" s="24" t="s">
        <v>20</v>
      </c>
      <c r="N11" s="22" t="s">
        <v>8</v>
      </c>
      <c r="O11" s="30">
        <v>3.4152015586963671</v>
      </c>
      <c r="P11" s="21">
        <v>3.5908508388884721</v>
      </c>
      <c r="Q11" s="21">
        <v>3.4810592811834842</v>
      </c>
      <c r="R11" s="21">
        <v>3.7936716420852452</v>
      </c>
      <c r="S11" s="21">
        <v>6.2547538184899718</v>
      </c>
      <c r="T11" s="21">
        <v>8.4548170485827576</v>
      </c>
      <c r="U11" s="31">
        <v>9.2105691148427589</v>
      </c>
      <c r="V11" s="21"/>
    </row>
    <row r="12" spans="1:22" ht="15.75" customHeight="1" thickBot="1" x14ac:dyDescent="0.25">
      <c r="A12" s="24" t="s">
        <v>21</v>
      </c>
      <c r="B12" s="22" t="s">
        <v>8</v>
      </c>
      <c r="C12" s="30">
        <v>93.264503441494597</v>
      </c>
      <c r="D12" s="21">
        <v>92.611608520258244</v>
      </c>
      <c r="E12" s="21">
        <v>91.802377183193613</v>
      </c>
      <c r="F12" s="21">
        <v>87.81411603906605</v>
      </c>
      <c r="G12" s="21">
        <v>83.54777002107862</v>
      </c>
      <c r="H12" s="21">
        <v>65.123556432149059</v>
      </c>
      <c r="I12" s="31">
        <v>52.043538438913842</v>
      </c>
      <c r="J12" s="21" cm="1">
        <f t="array" ref="J12">-SUMPRODUCT((D1:H1-C1:G1)*(C12:G12+D12:H12)/2)</f>
        <v>80.249572156045161</v>
      </c>
      <c r="K12" s="21" cm="1">
        <f t="array" ref="K12">-SUMPRODUCT((D1:I1-C1:H1)*(C12:H12+D12:I12)/2)</f>
        <v>83.178749527821736</v>
      </c>
      <c r="L12" s="21"/>
      <c r="M12" s="24" t="s">
        <v>21</v>
      </c>
      <c r="N12" s="22" t="s">
        <v>8</v>
      </c>
      <c r="O12" s="30">
        <v>3.268629442901446</v>
      </c>
      <c r="P12" s="21">
        <v>3.3881732445559489</v>
      </c>
      <c r="Q12" s="21">
        <v>3.428991009913509</v>
      </c>
      <c r="R12" s="21">
        <v>3.8543256611735521</v>
      </c>
      <c r="S12" s="21">
        <v>4.529447954439723</v>
      </c>
      <c r="T12" s="21">
        <v>7.6902459382152024</v>
      </c>
      <c r="U12" s="31">
        <v>9.1416633252129991</v>
      </c>
      <c r="V12" s="21"/>
    </row>
    <row r="13" spans="1:22" ht="15.75" customHeight="1" thickBot="1" x14ac:dyDescent="0.25">
      <c r="A13" s="4" t="s">
        <v>22</v>
      </c>
      <c r="B13" s="22" t="s">
        <v>8</v>
      </c>
      <c r="C13" s="32">
        <v>93.176991150442475</v>
      </c>
      <c r="D13" s="33">
        <v>92.551622418879049</v>
      </c>
      <c r="E13" s="33">
        <v>91.770912089781632</v>
      </c>
      <c r="F13" s="33">
        <v>88.774349259076644</v>
      </c>
      <c r="G13" s="33">
        <v>85.119574275440684</v>
      </c>
      <c r="H13" s="33">
        <v>65.55219912513661</v>
      </c>
      <c r="I13" s="34">
        <v>55.581651513709751</v>
      </c>
      <c r="J13" s="21" cm="1">
        <f t="array" ref="J13">-SUMPRODUCT((D1:H1-C1:G1)*(C13:G13+D13:H13)/2)</f>
        <v>80.539204491388332</v>
      </c>
      <c r="K13" s="21" cm="1">
        <f t="array" ref="K13">-SUMPRODUCT((D1:I1-C1:H1)*(C13:H13+D13:I13)/2)</f>
        <v>83.567550757359498</v>
      </c>
      <c r="L13" s="21"/>
      <c r="M13" s="4" t="s">
        <v>22</v>
      </c>
      <c r="N13" s="22" t="s">
        <v>8</v>
      </c>
      <c r="O13" s="32">
        <v>3.3980555340015428</v>
      </c>
      <c r="P13" s="33">
        <v>3.2526209506201238</v>
      </c>
      <c r="Q13" s="33">
        <v>3.463276500799247</v>
      </c>
      <c r="R13" s="33">
        <v>4.4197147654757591</v>
      </c>
      <c r="S13" s="33">
        <v>4.9008511372208474</v>
      </c>
      <c r="T13" s="33">
        <v>8.1544027156793923</v>
      </c>
      <c r="U13" s="34">
        <v>8.3944532618135348</v>
      </c>
      <c r="V13" s="21"/>
    </row>
    <row r="14" spans="1:22" ht="15.75" customHeight="1" thickBot="1" x14ac:dyDescent="0.25">
      <c r="A14" s="3"/>
      <c r="B14" s="22"/>
      <c r="C14" s="30"/>
      <c r="D14" s="21"/>
      <c r="E14" s="21"/>
      <c r="F14" s="21"/>
      <c r="G14" s="21"/>
      <c r="H14" s="21"/>
      <c r="I14" s="31"/>
      <c r="J14" s="21"/>
      <c r="K14" s="21"/>
      <c r="L14" s="21"/>
      <c r="M14" s="5"/>
      <c r="N14" s="22"/>
      <c r="O14" s="30"/>
      <c r="P14" s="21"/>
      <c r="Q14" s="21"/>
      <c r="R14" s="21"/>
      <c r="S14" s="21"/>
      <c r="T14" s="21"/>
      <c r="U14" s="31"/>
      <c r="V14" s="21"/>
    </row>
    <row r="15" spans="1:22" ht="15.75" customHeight="1" thickBot="1" x14ac:dyDescent="0.25">
      <c r="A15" s="50" t="s">
        <v>10</v>
      </c>
      <c r="B15" s="51"/>
      <c r="C15" s="27">
        <v>93.32548436116808</v>
      </c>
      <c r="D15" s="28">
        <v>92.739539269370866</v>
      </c>
      <c r="E15" s="28">
        <v>91.500872268214565</v>
      </c>
      <c r="F15" s="28">
        <v>85.143369175627228</v>
      </c>
      <c r="G15" s="28">
        <v>75.147299428772442</v>
      </c>
      <c r="H15" s="28">
        <v>59.129842530356363</v>
      </c>
      <c r="I15" s="29">
        <v>48.364190001643621</v>
      </c>
      <c r="J15" s="21" cm="1">
        <f t="array" ref="J15">-SUMPRODUCT((D1:H1-C1:G1)*(C15:G15+D15:H15)/2)</f>
        <v>78.680994068576155</v>
      </c>
      <c r="K15" s="21" cm="1">
        <f t="array" ref="K15">-SUMPRODUCT((D1:I1-C1:H1)*(C15:H15+D15:I15)/2)</f>
        <v>81.368344881876155</v>
      </c>
      <c r="L15" s="21" t="str">
        <f t="shared" si="0"/>
        <v xml:space="preserve">    93.3254843611681, 92.7395392693709, 91.5008722682146, 85.1433691756272, 75.1472994287724, 59.1298425303564, 48.3641900016436,</v>
      </c>
      <c r="M15" s="50" t="s">
        <v>10</v>
      </c>
      <c r="N15" s="51"/>
      <c r="O15" s="27">
        <v>3.667959563183556</v>
      </c>
      <c r="P15" s="28">
        <v>3.989772059278164</v>
      </c>
      <c r="Q15" s="28">
        <v>4.3227288020875694</v>
      </c>
      <c r="R15" s="28">
        <v>4.691214264977404</v>
      </c>
      <c r="S15" s="28">
        <v>9.351372365820513</v>
      </c>
      <c r="T15" s="28">
        <v>11.12402361905577</v>
      </c>
      <c r="U15" s="29">
        <v>9.7177921031411447</v>
      </c>
      <c r="V15" s="21" t="str">
        <f t="shared" si="1"/>
        <v xml:space="preserve">    3.66795956318356, 3.98977205927816, 4.32272880208757, 4.6912142649774, 9.35137236582051, 11.1240236190558, 9.71779210314114,</v>
      </c>
    </row>
    <row r="16" spans="1:22" ht="15.75" customHeight="1" thickBot="1" x14ac:dyDescent="0.25">
      <c r="A16" s="56" t="s">
        <v>11</v>
      </c>
      <c r="B16" s="54"/>
      <c r="C16" s="27">
        <v>93.029579263949799</v>
      </c>
      <c r="D16" s="28">
        <v>91.699489903315182</v>
      </c>
      <c r="E16" s="28">
        <v>90.230102913231647</v>
      </c>
      <c r="F16" s="28">
        <v>85.684437869993104</v>
      </c>
      <c r="G16" s="28">
        <v>76.604408342632709</v>
      </c>
      <c r="H16" s="28">
        <v>60.525240991127369</v>
      </c>
      <c r="I16" s="29">
        <v>50.546463781405251</v>
      </c>
      <c r="J16" s="21" cm="1">
        <f t="array" ref="J16">-SUMPRODUCT((D1:H1-C1:G1)*(C16:G16+D16:H16)/2)</f>
        <v>78.394711603618248</v>
      </c>
      <c r="K16" s="21" cm="1">
        <f t="array" ref="K16">-SUMPRODUCT((D1:I1-C1:H1)*(C16:H16+D16:I16)/2)</f>
        <v>81.17150422293156</v>
      </c>
      <c r="L16" s="21" t="str">
        <f t="shared" si="0"/>
        <v xml:space="preserve">    93.0295792639498, 91.6994899033152, 90.2301029132316, 85.6844378699931, 76.6044083426327, 60.5252409911274, 50.5464637814053,</v>
      </c>
      <c r="M16" s="50" t="s">
        <v>11</v>
      </c>
      <c r="N16" s="51"/>
      <c r="O16" s="27">
        <v>3.744976414623296</v>
      </c>
      <c r="P16" s="28">
        <v>4.343666270045687</v>
      </c>
      <c r="Q16" s="28">
        <v>4.7437159565801874</v>
      </c>
      <c r="R16" s="28">
        <v>5.5306123777224894</v>
      </c>
      <c r="S16" s="28">
        <v>8.3512102986812558</v>
      </c>
      <c r="T16" s="28">
        <v>10.38527872584435</v>
      </c>
      <c r="U16" s="29">
        <v>9.5213328677383782</v>
      </c>
      <c r="V16" s="21" t="str">
        <f t="shared" si="1"/>
        <v xml:space="preserve">    3.7449764146233, 4.34366627004569, 4.74371595658019, 5.53061237772249, 8.35121029868126, 10.3852787258443, 9.52133286773838,</v>
      </c>
    </row>
    <row r="17" spans="1:22" ht="15.75" customHeight="1" x14ac:dyDescent="0.2">
      <c r="A17" s="5" t="s">
        <v>13</v>
      </c>
      <c r="B17" s="54" t="s">
        <v>12</v>
      </c>
      <c r="C17" s="18">
        <v>92.834854396087621</v>
      </c>
      <c r="D17" s="19">
        <v>91.543779213776347</v>
      </c>
      <c r="E17" s="19">
        <v>90.221590728870211</v>
      </c>
      <c r="F17" s="19">
        <v>81.966357840465747</v>
      </c>
      <c r="G17" s="19">
        <v>70.033858424380838</v>
      </c>
      <c r="H17" s="19">
        <v>59.126745617753343</v>
      </c>
      <c r="I17" s="20">
        <v>50.169361326655093</v>
      </c>
      <c r="J17" s="21" cm="1">
        <f t="array" ref="J17">-SUMPRODUCT((D1:H1-C1:G1)*(C17:G17+D17:H17)/2)</f>
        <v>77.044836316346462</v>
      </c>
      <c r="K17" s="21" cm="1">
        <f t="array" ref="K17">-SUMPRODUCT((D1:I1-C1:H1)*(C17:H17+D17:I17)/2)</f>
        <v>79.777238989956672</v>
      </c>
      <c r="L17" s="21" t="str">
        <f t="shared" si="0"/>
        <v xml:space="preserve">    92.8348543960876, 91.5437792137763, 90.2215907288702, 81.9663578404657, 70.0338584243808, 59.1267456177533, 50.1693613266551,</v>
      </c>
      <c r="M17" s="5" t="s">
        <v>13</v>
      </c>
      <c r="N17" s="54" t="s">
        <v>12</v>
      </c>
      <c r="O17" s="30">
        <v>4.0510436307120292</v>
      </c>
      <c r="P17" s="21">
        <v>3.6908355314818002</v>
      </c>
      <c r="Q17" s="21">
        <v>4.4374013556165783</v>
      </c>
      <c r="R17" s="21">
        <v>6.3902033256123429</v>
      </c>
      <c r="S17" s="21">
        <v>10.7999993987811</v>
      </c>
      <c r="T17" s="21">
        <v>10.29098287336047</v>
      </c>
      <c r="U17" s="31">
        <v>9.4084925093140743</v>
      </c>
      <c r="V17" s="21" t="str">
        <f t="shared" si="1"/>
        <v xml:space="preserve">    4.05104363071203, 3.6908355314818, 4.43740135561658, 6.39020332561234, 10.7999993987811, 10.2909828733605, 9.40849250931407,</v>
      </c>
    </row>
    <row r="18" spans="1:22" ht="15.75" customHeight="1" thickBot="1" x14ac:dyDescent="0.25">
      <c r="A18" s="25" t="s">
        <v>14</v>
      </c>
      <c r="B18" s="55"/>
      <c r="C18" s="32">
        <v>92.961657684466715</v>
      </c>
      <c r="D18" s="33">
        <v>91.581357393518388</v>
      </c>
      <c r="E18" s="33">
        <v>90.473438351542839</v>
      </c>
      <c r="F18" s="33">
        <v>86.603606720934735</v>
      </c>
      <c r="G18" s="33">
        <v>77.903932271617123</v>
      </c>
      <c r="H18" s="33">
        <v>59.567908603592286</v>
      </c>
      <c r="I18" s="34">
        <v>48.445153793141223</v>
      </c>
      <c r="J18" s="21" cm="1">
        <f t="array" ref="J18">-SUMPRODUCT((D1:H1-C1:G1)*(C18:G18+D18:H18)/2)</f>
        <v>78.631399853516598</v>
      </c>
      <c r="K18" s="21" cm="1">
        <f t="array" ref="K18">-SUMPRODUCT((D1:I1-C1:H1)*(C18:H18+D18:I18)/2)</f>
        <v>81.331726413434936</v>
      </c>
      <c r="L18" s="21" t="str">
        <f t="shared" si="0"/>
        <v xml:space="preserve">    92.9616576844667, 91.5813573935184, 90.4734383515428, 86.6036067209347, 77.9039322716171, 59.5679086035923, 48.4451537931412,</v>
      </c>
      <c r="M18" s="25" t="s">
        <v>14</v>
      </c>
      <c r="N18" s="55"/>
      <c r="O18" s="32">
        <v>3.561541743303076</v>
      </c>
      <c r="P18" s="33">
        <v>4.0732299909545224</v>
      </c>
      <c r="Q18" s="33">
        <v>4.7078541322877587</v>
      </c>
      <c r="R18" s="33">
        <v>5.7340237026421512</v>
      </c>
      <c r="S18" s="33">
        <v>7.7315701222211866</v>
      </c>
      <c r="T18" s="33">
        <v>8.7921119837631458</v>
      </c>
      <c r="U18" s="34">
        <v>6.9480359155607783</v>
      </c>
      <c r="V18" s="21" t="str">
        <f t="shared" si="1"/>
        <v xml:space="preserve">    3.56154174330308, 4.07322999095452, 4.70785413228776, 5.73402370264215, 7.73157012222119, 8.79211198376315, 6.94803591556078,</v>
      </c>
    </row>
    <row r="19" spans="1:22" ht="15" thickBot="1" x14ac:dyDescent="0.25">
      <c r="A19" s="35"/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</row>
    <row r="20" spans="1:22" ht="15.75" thickBot="1" x14ac:dyDescent="0.25">
      <c r="A20" s="6" t="s">
        <v>4</v>
      </c>
      <c r="B20" s="7" t="s">
        <v>1</v>
      </c>
      <c r="C20" s="9">
        <v>1</v>
      </c>
      <c r="D20" s="9">
        <v>0.75</v>
      </c>
      <c r="E20" s="9">
        <v>0.5</v>
      </c>
      <c r="F20" s="9">
        <v>0.3</v>
      </c>
      <c r="G20" s="9">
        <v>0.2</v>
      </c>
      <c r="H20" s="9">
        <v>0.1</v>
      </c>
      <c r="I20" s="7">
        <v>0.05</v>
      </c>
      <c r="J20" s="17"/>
      <c r="K20" s="17"/>
      <c r="L20" s="36"/>
      <c r="M20" s="6" t="s">
        <v>5</v>
      </c>
      <c r="N20" s="7" t="s">
        <v>1</v>
      </c>
      <c r="O20" s="10">
        <v>1</v>
      </c>
      <c r="P20" s="10">
        <v>0.75</v>
      </c>
      <c r="Q20" s="10">
        <v>0.5</v>
      </c>
      <c r="R20" s="10">
        <v>0.3</v>
      </c>
      <c r="S20" s="10">
        <v>0.2</v>
      </c>
      <c r="T20" s="10">
        <v>0.1</v>
      </c>
      <c r="U20" s="11">
        <v>0.05</v>
      </c>
      <c r="V20" s="36"/>
    </row>
    <row r="21" spans="1:22" ht="15.75" thickBot="1" x14ac:dyDescent="0.25">
      <c r="A21" s="52" t="s">
        <v>6</v>
      </c>
      <c r="B21" s="53"/>
      <c r="C21" s="37">
        <v>92.567111769713335</v>
      </c>
      <c r="D21" s="37">
        <v>90.835858608343599</v>
      </c>
      <c r="E21" s="37">
        <v>89.217505339533233</v>
      </c>
      <c r="F21" s="37">
        <v>83.237245964288078</v>
      </c>
      <c r="G21" s="37">
        <v>75.380430844191011</v>
      </c>
      <c r="H21" s="37">
        <v>58.994367187597383</v>
      </c>
      <c r="I21" s="38">
        <v>43.622535641382179</v>
      </c>
      <c r="J21" s="36"/>
      <c r="K21" s="36"/>
      <c r="L21" s="36" t="str">
        <f>"    "&amp;_xlfn.TEXTJOIN(", ",TRUE,C21:I21)&amp;","</f>
        <v xml:space="preserve">    92.5671117697133, 90.8358586083436, 89.2175053395332, 83.2372459642881, 75.380430844191, 58.9943671875974, 43.6225356413822,</v>
      </c>
      <c r="M21" s="52" t="s">
        <v>2</v>
      </c>
      <c r="N21" s="53"/>
      <c r="O21" s="39">
        <v>3.88093621561358</v>
      </c>
      <c r="P21" s="37">
        <v>4.8164746829677396</v>
      </c>
      <c r="Q21" s="37">
        <v>5.2250608386616522</v>
      </c>
      <c r="R21" s="37">
        <v>5.6675721086724113</v>
      </c>
      <c r="S21" s="37">
        <v>8.3263283482936075</v>
      </c>
      <c r="T21" s="37">
        <v>10.49020927094638</v>
      </c>
      <c r="U21" s="38">
        <v>11.060437347759546</v>
      </c>
      <c r="V21" s="36" t="str">
        <f>"    "&amp;_xlfn.TEXTJOIN(", ",TRUE,O21:U21)&amp;","</f>
        <v xml:space="preserve">    3.88093621561358, 4.81647468296774, 5.22506083866165, 5.66757210867241, 8.32632834829361, 10.4902092709464, 11.0604373477595,</v>
      </c>
    </row>
    <row r="22" spans="1:22" ht="15.75" thickBot="1" x14ac:dyDescent="0.25">
      <c r="A22" s="52" t="s">
        <v>7</v>
      </c>
      <c r="B22" s="53"/>
      <c r="C22" s="37">
        <v>92.866950218042462</v>
      </c>
      <c r="D22" s="37">
        <v>91.242690764745561</v>
      </c>
      <c r="E22" s="37">
        <v>90.137053227698445</v>
      </c>
      <c r="F22" s="37">
        <v>86.080152926613408</v>
      </c>
      <c r="G22" s="37">
        <v>77.410217255196784</v>
      </c>
      <c r="H22" s="37">
        <v>59.676194764980139</v>
      </c>
      <c r="I22" s="38">
        <v>46.395490419404197</v>
      </c>
      <c r="J22" s="36"/>
      <c r="K22" s="36"/>
      <c r="L22" s="36" t="str">
        <f>"    "&amp;_xlfn.TEXTJOIN(", ",TRUE,C22:I22)&amp;","</f>
        <v xml:space="preserve">    92.8669502180425, 91.2426907647456, 90.1370532276984, 86.0801529266134, 77.4102172551968, 59.6761947649801, 46.3954904194042,</v>
      </c>
      <c r="M22" s="52" t="s">
        <v>7</v>
      </c>
      <c r="N22" s="53"/>
      <c r="O22" s="37">
        <v>3.8319643020864191</v>
      </c>
      <c r="P22" s="37">
        <v>4.3603246705255447</v>
      </c>
      <c r="Q22" s="37">
        <v>4.7987735191879262</v>
      </c>
      <c r="R22" s="37">
        <v>5.1262965367330251</v>
      </c>
      <c r="S22" s="37">
        <v>7.087258799823358</v>
      </c>
      <c r="T22" s="37">
        <v>9.7457736576346736</v>
      </c>
      <c r="U22" s="38">
        <v>10.021578856839133</v>
      </c>
      <c r="V22" s="36" t="str">
        <f t="shared" ref="V22:V37" si="2">"    "&amp;_xlfn.TEXTJOIN(", ",TRUE,O22:U22)&amp;","</f>
        <v xml:space="preserve">    3.83196430208642, 4.36032467052554, 4.79877351918793, 5.12629653673303, 7.08725879982336, 9.74577365763467, 10.0215788568391,</v>
      </c>
    </row>
    <row r="23" spans="1:22" ht="15.75" thickBot="1" x14ac:dyDescent="0.25">
      <c r="A23" s="52" t="s">
        <v>23</v>
      </c>
      <c r="B23" s="53"/>
      <c r="C23" s="59">
        <v>87.268396410214976</v>
      </c>
      <c r="D23" s="60">
        <v>87.256428398686779</v>
      </c>
      <c r="E23" s="60">
        <v>87.822106304170404</v>
      </c>
      <c r="F23" s="60">
        <v>87.68072644235157</v>
      </c>
      <c r="G23" s="60">
        <v>87.144879367185226</v>
      </c>
      <c r="H23" s="60">
        <v>74.976567886515753</v>
      </c>
      <c r="I23" s="61">
        <v>46.41754739488244</v>
      </c>
      <c r="J23" s="36"/>
      <c r="K23" s="36"/>
      <c r="L23" s="36"/>
      <c r="M23" s="52" t="s">
        <v>23</v>
      </c>
      <c r="N23" s="53"/>
      <c r="O23" s="59">
        <v>2.610595868561878</v>
      </c>
      <c r="P23" s="60">
        <v>2.3209805270224559</v>
      </c>
      <c r="Q23" s="60">
        <v>2.4426244152699921</v>
      </c>
      <c r="R23" s="60">
        <v>2.2821255442986761</v>
      </c>
      <c r="S23" s="60">
        <v>2.523131741400912</v>
      </c>
      <c r="T23" s="60">
        <v>3.7626100419371111</v>
      </c>
      <c r="U23" s="61">
        <v>4.1161081119796732</v>
      </c>
      <c r="V23" s="36"/>
    </row>
    <row r="24" spans="1:22" ht="15.75" thickBot="1" x14ac:dyDescent="0.25">
      <c r="A24" s="8"/>
      <c r="B24" s="11"/>
      <c r="C24" s="37"/>
      <c r="D24" s="37"/>
      <c r="E24" s="37"/>
      <c r="F24" s="37"/>
      <c r="G24" s="37"/>
      <c r="H24" s="37"/>
      <c r="I24" s="38"/>
      <c r="J24" s="36"/>
      <c r="K24" s="36"/>
      <c r="L24" s="36"/>
      <c r="M24" s="8"/>
      <c r="N24" s="11"/>
      <c r="O24" s="37"/>
      <c r="P24" s="37"/>
      <c r="Q24" s="37"/>
      <c r="R24" s="37"/>
      <c r="S24" s="37"/>
      <c r="T24" s="37"/>
      <c r="U24" s="38"/>
      <c r="V24" s="36"/>
    </row>
    <row r="25" spans="1:22" ht="15.75" thickBot="1" x14ac:dyDescent="0.25">
      <c r="A25" s="8" t="s">
        <v>9</v>
      </c>
      <c r="B25" s="15" t="s">
        <v>8</v>
      </c>
      <c r="C25" s="40">
        <v>92.954292864817049</v>
      </c>
      <c r="D25" s="41">
        <v>92.357759836062456</v>
      </c>
      <c r="E25" s="41">
        <v>91.461562492780971</v>
      </c>
      <c r="F25" s="41">
        <v>86.743979873826419</v>
      </c>
      <c r="G25" s="41">
        <v>81.631453605024419</v>
      </c>
      <c r="H25" s="41">
        <v>64.098881330484801</v>
      </c>
      <c r="I25" s="42">
        <v>49.283860594026933</v>
      </c>
      <c r="J25" s="36"/>
      <c r="K25" s="36"/>
      <c r="L25" s="36" t="str">
        <f t="shared" ref="L25:L37" si="3">"    "&amp;_xlfn.TEXTJOIN(", ",TRUE,C25:I25)&amp;","</f>
        <v xml:space="preserve">    92.954292864817, 92.3577598360625, 91.461562492781, 86.7439798738264, 81.6314536050244, 64.0988813304848, 49.2838605940269,</v>
      </c>
      <c r="M25" s="8" t="s">
        <v>9</v>
      </c>
      <c r="N25" s="15" t="s">
        <v>8</v>
      </c>
      <c r="O25" s="40">
        <v>3.835276536168911</v>
      </c>
      <c r="P25" s="41">
        <v>3.598100406048002</v>
      </c>
      <c r="Q25" s="41">
        <v>4.051880877328581</v>
      </c>
      <c r="R25" s="41">
        <v>4.7809154436796977</v>
      </c>
      <c r="S25" s="41">
        <v>6.0014653506951419</v>
      </c>
      <c r="T25" s="41">
        <v>9.2746718780767559</v>
      </c>
      <c r="U25" s="42">
        <v>10.653904686911019</v>
      </c>
      <c r="V25" s="36" t="str">
        <f t="shared" si="2"/>
        <v xml:space="preserve">    3.83527653616891, 3.598100406048, 4.05188087732858, 4.7809154436797, 6.00146535069514, 9.27467187807676, 10.653904686911,</v>
      </c>
    </row>
    <row r="26" spans="1:22" ht="15.75" thickBot="1" x14ac:dyDescent="0.25">
      <c r="A26" s="48" t="s">
        <v>16</v>
      </c>
      <c r="B26" s="23" t="s">
        <v>8</v>
      </c>
      <c r="C26" s="39">
        <v>93.233486222001275</v>
      </c>
      <c r="D26" s="37">
        <v>92.243551981897269</v>
      </c>
      <c r="E26" s="37">
        <v>90.590905327054088</v>
      </c>
      <c r="F26" s="37">
        <v>84.971819139560139</v>
      </c>
      <c r="G26" s="37">
        <v>74.719474517330127</v>
      </c>
      <c r="H26" s="37">
        <v>57.228041835457738</v>
      </c>
      <c r="I26" s="38">
        <v>44.525279490194833</v>
      </c>
      <c r="J26" s="36"/>
      <c r="K26" s="36"/>
      <c r="L26" s="36"/>
      <c r="M26" s="48" t="s">
        <v>16</v>
      </c>
      <c r="N26" s="23" t="s">
        <v>8</v>
      </c>
      <c r="O26" s="39">
        <v>3.8089522412879142</v>
      </c>
      <c r="P26" s="37">
        <v>4.342919131405174</v>
      </c>
      <c r="Q26" s="37">
        <v>4.327478271531918</v>
      </c>
      <c r="R26" s="37">
        <v>5.2447022636667224</v>
      </c>
      <c r="S26" s="37">
        <v>9.1706298221124687</v>
      </c>
      <c r="T26" s="37">
        <v>11.636354113544231</v>
      </c>
      <c r="U26" s="38">
        <v>11.14835395200309</v>
      </c>
      <c r="V26" s="36"/>
    </row>
    <row r="27" spans="1:22" ht="15.75" thickBot="1" x14ac:dyDescent="0.25">
      <c r="A27" s="48" t="s">
        <v>17</v>
      </c>
      <c r="B27" s="23" t="s">
        <v>8</v>
      </c>
      <c r="C27" s="43">
        <v>93.220304957259884</v>
      </c>
      <c r="D27" s="36">
        <v>92.11329357081172</v>
      </c>
      <c r="E27" s="36">
        <v>90.757043062389684</v>
      </c>
      <c r="F27" s="36">
        <v>86.098385472519524</v>
      </c>
      <c r="G27" s="36">
        <v>77.366797587323305</v>
      </c>
      <c r="H27" s="36">
        <v>57.960811098761198</v>
      </c>
      <c r="I27" s="44">
        <v>44.142774539798303</v>
      </c>
      <c r="J27" s="36"/>
      <c r="K27" s="36"/>
      <c r="L27" s="36"/>
      <c r="M27" s="48" t="s">
        <v>17</v>
      </c>
      <c r="N27" s="23" t="s">
        <v>8</v>
      </c>
      <c r="O27" s="43">
        <v>3.7354545738694651</v>
      </c>
      <c r="P27" s="36">
        <v>4.0257894620739956</v>
      </c>
      <c r="Q27" s="36">
        <v>4.0084175823809494</v>
      </c>
      <c r="R27" s="36">
        <v>4.716812250170447</v>
      </c>
      <c r="S27" s="36">
        <v>7.8946844578524971</v>
      </c>
      <c r="T27" s="36">
        <v>11.830572629522431</v>
      </c>
      <c r="U27" s="44">
        <v>10.928432655218749</v>
      </c>
      <c r="V27" s="36"/>
    </row>
    <row r="28" spans="1:22" ht="15.75" thickBot="1" x14ac:dyDescent="0.25">
      <c r="A28" s="48" t="s">
        <v>18</v>
      </c>
      <c r="B28" s="23" t="s">
        <v>8</v>
      </c>
      <c r="C28" s="43">
        <v>93.038405048642844</v>
      </c>
      <c r="D28" s="36">
        <v>91.880205250494768</v>
      </c>
      <c r="E28" s="36">
        <v>91.159191270600957</v>
      </c>
      <c r="F28" s="36">
        <v>86.827490630761105</v>
      </c>
      <c r="G28" s="36">
        <v>80.6145965818408</v>
      </c>
      <c r="H28" s="36">
        <v>61.465156135511783</v>
      </c>
      <c r="I28" s="44">
        <v>44.515701806083491</v>
      </c>
      <c r="J28" s="36"/>
      <c r="K28" s="36"/>
      <c r="L28" s="36"/>
      <c r="M28" s="48" t="s">
        <v>18</v>
      </c>
      <c r="N28" s="23" t="s">
        <v>8</v>
      </c>
      <c r="O28" s="43">
        <v>3.6699634103932581</v>
      </c>
      <c r="P28" s="36">
        <v>4.0807653969478386</v>
      </c>
      <c r="Q28" s="36">
        <v>3.918115172011519</v>
      </c>
      <c r="R28" s="36">
        <v>4.306445195978875</v>
      </c>
      <c r="S28" s="36">
        <v>6.2730658894777473</v>
      </c>
      <c r="T28" s="36">
        <v>8.9972677462398227</v>
      </c>
      <c r="U28" s="44">
        <v>11.024112340956799</v>
      </c>
      <c r="V28" s="36"/>
    </row>
    <row r="29" spans="1:22" ht="15.75" thickBot="1" x14ac:dyDescent="0.25">
      <c r="A29" s="48" t="s">
        <v>19</v>
      </c>
      <c r="B29" s="23" t="s">
        <v>8</v>
      </c>
      <c r="C29" s="43">
        <v>93.017769702946424</v>
      </c>
      <c r="D29" s="36">
        <v>92.339918508766004</v>
      </c>
      <c r="E29" s="36">
        <v>91.33013364292573</v>
      </c>
      <c r="F29" s="36">
        <v>87.675354834608697</v>
      </c>
      <c r="G29" s="36">
        <v>81.82675037636821</v>
      </c>
      <c r="H29" s="36">
        <v>64.551064578645935</v>
      </c>
      <c r="I29" s="44">
        <v>48.687230879562357</v>
      </c>
      <c r="J29" s="36"/>
      <c r="K29" s="36"/>
      <c r="L29" s="36"/>
      <c r="M29" s="48" t="s">
        <v>19</v>
      </c>
      <c r="N29" s="23" t="s">
        <v>8</v>
      </c>
      <c r="O29" s="43">
        <v>3.513043023549324</v>
      </c>
      <c r="P29" s="36">
        <v>3.576891621349839</v>
      </c>
      <c r="Q29" s="36">
        <v>3.937769037461837</v>
      </c>
      <c r="R29" s="36">
        <v>4.081842790628639</v>
      </c>
      <c r="S29" s="36">
        <v>6.1512747762865407</v>
      </c>
      <c r="T29" s="36">
        <v>8.8803831700335536</v>
      </c>
      <c r="U29" s="44">
        <v>10.25565594512924</v>
      </c>
      <c r="V29" s="36"/>
    </row>
    <row r="30" spans="1:22" ht="15.75" thickBot="1" x14ac:dyDescent="0.25">
      <c r="A30" s="48" t="s">
        <v>20</v>
      </c>
      <c r="B30" s="23" t="s">
        <v>8</v>
      </c>
      <c r="C30" s="43">
        <v>92.951357590912721</v>
      </c>
      <c r="D30" s="36">
        <v>91.99582986406034</v>
      </c>
      <c r="E30" s="36">
        <v>91.352704020992675</v>
      </c>
      <c r="F30" s="36">
        <v>87.527842170071395</v>
      </c>
      <c r="G30" s="36">
        <v>81.9369201038037</v>
      </c>
      <c r="H30" s="36">
        <v>63.633071531387642</v>
      </c>
      <c r="I30" s="44">
        <v>49.863143111840813</v>
      </c>
      <c r="J30" s="36"/>
      <c r="K30" s="36"/>
      <c r="L30" s="36"/>
      <c r="M30" s="48" t="s">
        <v>20</v>
      </c>
      <c r="N30" s="23" t="s">
        <v>8</v>
      </c>
      <c r="O30" s="43">
        <v>3.7105147598909749</v>
      </c>
      <c r="P30" s="36">
        <v>3.913751617684369</v>
      </c>
      <c r="Q30" s="36">
        <v>3.8043653395572221</v>
      </c>
      <c r="R30" s="36">
        <v>4.1408734998178547</v>
      </c>
      <c r="S30" s="36">
        <v>6.6553677177067687</v>
      </c>
      <c r="T30" s="36">
        <v>8.878609118334591</v>
      </c>
      <c r="U30" s="44">
        <v>9.9460507704864316</v>
      </c>
      <c r="V30" s="36"/>
    </row>
    <row r="31" spans="1:22" ht="15.75" thickBot="1" x14ac:dyDescent="0.25">
      <c r="A31" s="48" t="s">
        <v>21</v>
      </c>
      <c r="B31" s="23" t="s">
        <v>8</v>
      </c>
      <c r="C31" s="43">
        <v>92.865314684912761</v>
      </c>
      <c r="D31" s="36">
        <v>92.175605825361387</v>
      </c>
      <c r="E31" s="36">
        <v>91.386091659344928</v>
      </c>
      <c r="F31" s="36">
        <v>87.270344167871428</v>
      </c>
      <c r="G31" s="36">
        <v>82.919342502311878</v>
      </c>
      <c r="H31" s="36">
        <v>64.102452233592743</v>
      </c>
      <c r="I31" s="44">
        <v>49.188232592661421</v>
      </c>
      <c r="J31" s="36"/>
      <c r="K31" s="36"/>
      <c r="L31" s="36"/>
      <c r="M31" s="48" t="s">
        <v>21</v>
      </c>
      <c r="N31" s="23" t="s">
        <v>8</v>
      </c>
      <c r="O31" s="43">
        <v>3.5760674900980169</v>
      </c>
      <c r="P31" s="36">
        <v>3.7030821669218699</v>
      </c>
      <c r="Q31" s="36">
        <v>3.7444424010036741</v>
      </c>
      <c r="R31" s="36">
        <v>4.1417671966672431</v>
      </c>
      <c r="S31" s="36">
        <v>4.8163988314893986</v>
      </c>
      <c r="T31" s="36">
        <v>8.0141092798668154</v>
      </c>
      <c r="U31" s="44">
        <v>10.06207972865449</v>
      </c>
      <c r="V31" s="36"/>
    </row>
    <row r="32" spans="1:22" ht="15.75" thickBot="1" x14ac:dyDescent="0.25">
      <c r="A32" s="49" t="s">
        <v>22</v>
      </c>
      <c r="B32" s="23" t="s">
        <v>8</v>
      </c>
      <c r="C32" s="45">
        <v>92.718331539365238</v>
      </c>
      <c r="D32" s="46">
        <v>92.140084144598461</v>
      </c>
      <c r="E32" s="46">
        <v>91.379904797106931</v>
      </c>
      <c r="F32" s="46">
        <v>88.378075938007726</v>
      </c>
      <c r="G32" s="46">
        <v>84.574966803458963</v>
      </c>
      <c r="H32" s="46">
        <v>64.524084468318208</v>
      </c>
      <c r="I32" s="47">
        <v>53.783251685995403</v>
      </c>
      <c r="J32" s="36"/>
      <c r="K32" s="36"/>
      <c r="L32" s="36"/>
      <c r="M32" s="49" t="s">
        <v>22</v>
      </c>
      <c r="N32" s="23" t="s">
        <v>8</v>
      </c>
      <c r="O32" s="45">
        <v>3.7093306081953399</v>
      </c>
      <c r="P32" s="46">
        <v>3.557353374868756</v>
      </c>
      <c r="Q32" s="46">
        <v>3.8505126265401719</v>
      </c>
      <c r="R32" s="46">
        <v>4.6860631563763482</v>
      </c>
      <c r="S32" s="46">
        <v>5.2335990268297223</v>
      </c>
      <c r="T32" s="46">
        <v>8.5303914956588702</v>
      </c>
      <c r="U32" s="47">
        <v>9.1099237449071975</v>
      </c>
      <c r="V32" s="36"/>
    </row>
    <row r="33" spans="1:22" ht="15.75" thickBot="1" x14ac:dyDescent="0.25">
      <c r="A33" s="6"/>
      <c r="B33" s="23"/>
      <c r="C33" s="45"/>
      <c r="D33" s="46"/>
      <c r="E33" s="46"/>
      <c r="F33" s="46"/>
      <c r="G33" s="46"/>
      <c r="H33" s="46"/>
      <c r="I33" s="47"/>
      <c r="J33" s="36"/>
      <c r="K33" s="36"/>
      <c r="L33" s="36"/>
      <c r="M33" s="6"/>
      <c r="N33" s="23"/>
      <c r="O33" s="45"/>
      <c r="P33" s="46"/>
      <c r="Q33" s="46"/>
      <c r="R33" s="46"/>
      <c r="S33" s="46"/>
      <c r="T33" s="46"/>
      <c r="U33" s="47"/>
      <c r="V33" s="36"/>
    </row>
    <row r="34" spans="1:22" ht="14.25" customHeight="1" thickBot="1" x14ac:dyDescent="0.25">
      <c r="A34" s="52" t="s">
        <v>10</v>
      </c>
      <c r="B34" s="53"/>
      <c r="C34" s="45">
        <v>92.868050634154315</v>
      </c>
      <c r="D34" s="46">
        <v>92.288231222045297</v>
      </c>
      <c r="E34" s="46">
        <v>91.054287148035144</v>
      </c>
      <c r="F34" s="46">
        <v>84.437885333085376</v>
      </c>
      <c r="G34" s="46">
        <v>74.253673383599548</v>
      </c>
      <c r="H34" s="46">
        <v>57.552195558991649</v>
      </c>
      <c r="I34" s="47">
        <v>45.560977654736433</v>
      </c>
      <c r="J34" s="36"/>
      <c r="K34" s="36"/>
      <c r="L34" s="36" t="str">
        <f t="shared" si="3"/>
        <v xml:space="preserve">    92.8680506341543, 92.2882312220453, 91.0542871480351, 84.4378853330854, 74.2536733835995, 57.5521955589916, 45.5609776547364,</v>
      </c>
      <c r="M34" s="52" t="s">
        <v>10</v>
      </c>
      <c r="N34" s="53"/>
      <c r="O34" s="45">
        <v>4.0949495507503526</v>
      </c>
      <c r="P34" s="46">
        <v>4.4354851591423481</v>
      </c>
      <c r="Q34" s="46">
        <v>4.6437372111598876</v>
      </c>
      <c r="R34" s="46">
        <v>5.0311660763107948</v>
      </c>
      <c r="S34" s="46">
        <v>9.8512038160577102</v>
      </c>
      <c r="T34" s="46">
        <v>11.57485796488027</v>
      </c>
      <c r="U34" s="47">
        <v>10.571075661324681</v>
      </c>
      <c r="V34" s="36" t="str">
        <f t="shared" si="2"/>
        <v xml:space="preserve">    4.09494955075035, 4.43548515914235, 4.64373721115989, 5.03116607631079, 9.85120381605771, 11.5748579648803, 10.5710756613247,</v>
      </c>
    </row>
    <row r="35" spans="1:22" ht="15.75" thickBot="1" x14ac:dyDescent="0.25">
      <c r="A35" s="52" t="s">
        <v>11</v>
      </c>
      <c r="B35" s="53"/>
      <c r="C35" s="40">
        <v>92.513598322189821</v>
      </c>
      <c r="D35" s="41">
        <v>91.261446870594469</v>
      </c>
      <c r="E35" s="41">
        <v>89.758265941661861</v>
      </c>
      <c r="F35" s="41">
        <v>85.044465656129674</v>
      </c>
      <c r="G35" s="41">
        <v>75.898843968080286</v>
      </c>
      <c r="H35" s="41">
        <v>59.465611837116732</v>
      </c>
      <c r="I35" s="42">
        <v>48.473156490254198</v>
      </c>
      <c r="J35" s="36"/>
      <c r="K35" s="36"/>
      <c r="L35" s="36" t="str">
        <f t="shared" si="3"/>
        <v xml:space="preserve">    92.5135983221898, 91.2614468705945, 89.7582659416619, 85.0444656561297, 75.8988439680803, 59.4656118371167, 48.4731564902542,</v>
      </c>
      <c r="M35" s="52" t="s">
        <v>11</v>
      </c>
      <c r="N35" s="53"/>
      <c r="O35" s="40">
        <v>4.2171731523020446</v>
      </c>
      <c r="P35" s="41">
        <v>4.6702984752282681</v>
      </c>
      <c r="Q35" s="41">
        <v>5.0608860361047316</v>
      </c>
      <c r="R35" s="41">
        <v>5.9068575059271318</v>
      </c>
      <c r="S35" s="41">
        <v>8.5966909141817851</v>
      </c>
      <c r="T35" s="41">
        <v>10.771320326074211</v>
      </c>
      <c r="U35" s="42">
        <v>10.23603152809228</v>
      </c>
      <c r="V35" s="36" t="str">
        <f t="shared" si="2"/>
        <v xml:space="preserve">    4.21717315230204, 4.67029847522827, 5.06088603610473, 5.90685750592713, 8.59669091418179, 10.7713203260742, 10.2360315280923,</v>
      </c>
    </row>
    <row r="36" spans="1:22" ht="14.25" customHeight="1" x14ac:dyDescent="0.2">
      <c r="A36" s="8" t="s">
        <v>13</v>
      </c>
      <c r="B36" s="57" t="s">
        <v>12</v>
      </c>
      <c r="C36" s="43">
        <v>92.384696271051709</v>
      </c>
      <c r="D36" s="36">
        <v>91.064746116237558</v>
      </c>
      <c r="E36" s="36">
        <v>89.706740365863908</v>
      </c>
      <c r="F36" s="36">
        <v>81.266684859944064</v>
      </c>
      <c r="G36" s="36">
        <v>68.711708208784543</v>
      </c>
      <c r="H36" s="36">
        <v>57.290199860401387</v>
      </c>
      <c r="I36" s="44">
        <v>46.739399749312987</v>
      </c>
      <c r="J36" s="36"/>
      <c r="K36" s="36"/>
      <c r="L36" s="36" t="str">
        <f t="shared" si="3"/>
        <v xml:space="preserve">    92.3846962710517, 91.0647461162376, 89.7067403658639, 81.2666848599441, 68.7117082087845, 57.2901998604014, 46.739399749313,</v>
      </c>
      <c r="M36" s="8" t="s">
        <v>13</v>
      </c>
      <c r="N36" s="57" t="s">
        <v>12</v>
      </c>
      <c r="O36" s="43">
        <v>4.4473764157450031</v>
      </c>
      <c r="P36" s="36">
        <v>4.0187101439284323</v>
      </c>
      <c r="Q36" s="36">
        <v>4.7779668014831769</v>
      </c>
      <c r="R36" s="36">
        <v>6.6359863685648257</v>
      </c>
      <c r="S36" s="36">
        <v>11.614665967759111</v>
      </c>
      <c r="T36" s="36">
        <v>10.738358030533391</v>
      </c>
      <c r="U36" s="44">
        <v>10.069205406414641</v>
      </c>
      <c r="V36" s="36" t="str">
        <f t="shared" si="2"/>
        <v xml:space="preserve">    4.447376415745, 4.01871014392843, 4.77796680148318, 6.63598636856483, 11.6146659677591, 10.7383580305334, 10.0692054064146,</v>
      </c>
    </row>
    <row r="37" spans="1:22" ht="15.75" thickBot="1" x14ac:dyDescent="0.25">
      <c r="A37" s="26" t="s">
        <v>14</v>
      </c>
      <c r="B37" s="58"/>
      <c r="C37" s="45">
        <v>92.570176373736686</v>
      </c>
      <c r="D37" s="46">
        <v>91.035116753825534</v>
      </c>
      <c r="E37" s="46">
        <v>89.995984735900805</v>
      </c>
      <c r="F37" s="46">
        <v>86.101239818995751</v>
      </c>
      <c r="G37" s="46">
        <v>77.099560389949318</v>
      </c>
      <c r="H37" s="46">
        <v>57.996429145301242</v>
      </c>
      <c r="I37" s="47">
        <v>44.399943110932981</v>
      </c>
      <c r="J37" s="36"/>
      <c r="K37" s="36"/>
      <c r="L37" s="36" t="str">
        <f t="shared" si="3"/>
        <v xml:space="preserve">    92.5701763737367, 91.0351167538255, 89.9959847359008, 86.1012398189958, 77.0995603899493, 57.9964291453012, 44.399943110933,</v>
      </c>
      <c r="M37" s="26" t="s">
        <v>14</v>
      </c>
      <c r="N37" s="58"/>
      <c r="O37" s="45">
        <v>3.882028195540002</v>
      </c>
      <c r="P37" s="46">
        <v>4.4292663319519576</v>
      </c>
      <c r="Q37" s="46">
        <v>5.1354581403320241</v>
      </c>
      <c r="R37" s="46">
        <v>5.8685355921558013</v>
      </c>
      <c r="S37" s="46">
        <v>8.0663639251543504</v>
      </c>
      <c r="T37" s="46">
        <v>9.5110854192429173</v>
      </c>
      <c r="U37" s="47">
        <v>8.058131505188614</v>
      </c>
      <c r="V37" s="36" t="str">
        <f t="shared" si="2"/>
        <v xml:space="preserve">    3.88202819554, 4.42926633195196, 5.13545814033202, 5.8685355921558, 8.06636392515435, 9.51108541924292, 8.05813150518861,</v>
      </c>
    </row>
    <row r="39" spans="1:22" ht="15" x14ac:dyDescent="0.2"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</row>
    <row r="40" spans="1:22" ht="15" x14ac:dyDescent="0.2"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</row>
    <row r="41" spans="1:22" ht="15" x14ac:dyDescent="0.2">
      <c r="L41" s="2"/>
      <c r="M41" s="2"/>
      <c r="N41" s="2"/>
      <c r="O41" s="2"/>
      <c r="P41" s="2"/>
      <c r="Q41" s="2"/>
      <c r="R41" s="2"/>
      <c r="S41" s="2"/>
      <c r="T41" s="2"/>
      <c r="U41" s="2"/>
    </row>
    <row r="42" spans="1:22" ht="15" x14ac:dyDescent="0.2">
      <c r="L42" s="2"/>
      <c r="M42" s="2"/>
      <c r="N42" s="2"/>
      <c r="O42" s="2"/>
      <c r="P42" s="2"/>
      <c r="Q42" s="2"/>
      <c r="R42" s="2"/>
      <c r="S42" s="2"/>
      <c r="T42" s="2"/>
      <c r="U42" s="2"/>
    </row>
    <row r="43" spans="1:22" ht="15" x14ac:dyDescent="0.2">
      <c r="L43" s="2"/>
      <c r="M43" s="2"/>
      <c r="N43" s="2"/>
      <c r="O43" s="2"/>
      <c r="P43" s="2"/>
      <c r="Q43" s="2"/>
      <c r="R43" s="2"/>
      <c r="S43" s="2"/>
      <c r="T43" s="2"/>
      <c r="U43" s="2"/>
    </row>
    <row r="44" spans="1:22" ht="15" x14ac:dyDescent="0.2">
      <c r="L44" s="2"/>
      <c r="M44" s="2"/>
      <c r="N44" s="2"/>
      <c r="O44" s="2"/>
      <c r="P44" s="2"/>
      <c r="Q44" s="2"/>
      <c r="R44" s="2"/>
      <c r="S44" s="2"/>
      <c r="T44" s="2"/>
      <c r="U44" s="2"/>
    </row>
    <row r="45" spans="1:22" ht="15" x14ac:dyDescent="0.2">
      <c r="L45" s="2"/>
      <c r="M45" s="2"/>
      <c r="N45" s="2"/>
      <c r="O45" s="2"/>
      <c r="P45" s="2"/>
      <c r="Q45" s="2"/>
      <c r="R45" s="2"/>
      <c r="S45" s="2"/>
      <c r="T45" s="2"/>
      <c r="U45" s="2"/>
    </row>
    <row r="46" spans="1:22" ht="15" x14ac:dyDescent="0.2">
      <c r="M46" s="2"/>
      <c r="N46" s="2"/>
      <c r="O46" s="2"/>
      <c r="P46" s="2"/>
      <c r="Q46" s="2"/>
      <c r="R46" s="2"/>
      <c r="S46" s="2"/>
      <c r="T46" s="2"/>
      <c r="U46" s="2"/>
    </row>
    <row r="47" spans="1:22" ht="15" x14ac:dyDescent="0.2">
      <c r="E47" s="2"/>
      <c r="J47" s="2"/>
      <c r="M47" s="2"/>
      <c r="N47" s="2"/>
      <c r="O47" s="2"/>
      <c r="P47" s="2"/>
      <c r="Q47" s="2"/>
      <c r="R47" s="2"/>
      <c r="S47" s="2"/>
      <c r="T47" s="2"/>
      <c r="U47" s="2"/>
    </row>
    <row r="48" spans="1:22" ht="15" x14ac:dyDescent="0.2">
      <c r="E48" s="2"/>
      <c r="M48" s="2"/>
      <c r="N48" s="2"/>
      <c r="O48" s="2"/>
      <c r="P48" s="2"/>
      <c r="Q48" s="2"/>
      <c r="R48" s="2"/>
      <c r="S48" s="2"/>
      <c r="T48" s="2"/>
      <c r="U48" s="2"/>
    </row>
    <row r="49" spans="12:21" ht="15" x14ac:dyDescent="0.2">
      <c r="L49" s="2"/>
      <c r="M49" s="2"/>
      <c r="N49" s="2"/>
      <c r="O49" s="2"/>
      <c r="P49" s="2"/>
      <c r="Q49" s="2"/>
      <c r="R49" s="2"/>
      <c r="S49" s="2"/>
      <c r="T49" s="2"/>
      <c r="U49" s="2"/>
    </row>
  </sheetData>
  <mergeCells count="24">
    <mergeCell ref="B36:B37"/>
    <mergeCell ref="N36:N37"/>
    <mergeCell ref="M15:N15"/>
    <mergeCell ref="M16:N16"/>
    <mergeCell ref="A34:B34"/>
    <mergeCell ref="A35:B35"/>
    <mergeCell ref="M34:N34"/>
    <mergeCell ref="M35:N35"/>
    <mergeCell ref="A22:B22"/>
    <mergeCell ref="M22:N22"/>
    <mergeCell ref="A23:B23"/>
    <mergeCell ref="M23:N23"/>
    <mergeCell ref="A2:B2"/>
    <mergeCell ref="M2:N2"/>
    <mergeCell ref="A21:B21"/>
    <mergeCell ref="M21:N21"/>
    <mergeCell ref="B17:B18"/>
    <mergeCell ref="N17:N18"/>
    <mergeCell ref="A3:B3"/>
    <mergeCell ref="M3:N3"/>
    <mergeCell ref="A15:B15"/>
    <mergeCell ref="A16:B16"/>
    <mergeCell ref="A4:B4"/>
    <mergeCell ref="M4:N4"/>
  </mergeCells>
  <phoneticPr fontId="1" type="noConversion"/>
  <conditionalFormatting sqref="C2:I18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I18 C2:I6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K5"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K18 C2:K6 J7:K13"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J18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6:J33">
    <cfRule type="colorScale" priority="4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K18">
    <cfRule type="colorScale" priority="3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6:K33">
    <cfRule type="colorScale" priority="3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K18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6:K33">
    <cfRule type="colorScale" priority="4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fullldata_20260317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Yuzeng Xu</cp:lastModifiedBy>
  <dcterms:created xsi:type="dcterms:W3CDTF">2015-06-05T18:17:20Z</dcterms:created>
  <dcterms:modified xsi:type="dcterms:W3CDTF">2026-04-01T07:39:26Z</dcterms:modified>
</cp:coreProperties>
</file>