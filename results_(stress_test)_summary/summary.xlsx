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RnD_Repo\Research_Engineeirng\feature_fusion_PCCxSigmoid-PLV-\results_(stress_test)_summary\"/>
    </mc:Choice>
  </mc:AlternateContent>
  <xr:revisionPtr revIDLastSave="0" documentId="13_ncr:1_{1AFB12DF-A583-4AEC-AD58-C902FC721171}" xr6:coauthVersionLast="47" xr6:coauthVersionMax="47" xr10:uidLastSave="{00000000-0000-0000-0000-000000000000}"/>
  <bookViews>
    <workbookView xWindow="-120" yWindow="-120" windowWidth="29040" windowHeight="15720" tabRatio="660" xr2:uid="{00000000-000D-0000-FFFF-FFFF00000000}"/>
  </bookViews>
  <sheets>
    <sheet name="partialdata_20260407" sheetId="6" r:id="rId1"/>
    <sheet name="fullldata_20260407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5" i="6" l="1"/>
  <c r="V30" i="6"/>
  <c r="V12" i="6"/>
  <c r="V17" i="6"/>
  <c r="L12" i="6"/>
  <c r="L30" i="6"/>
  <c r="L35" i="6"/>
  <c r="L17" i="6"/>
  <c r="V34" i="6"/>
  <c r="L34" i="6"/>
  <c r="V33" i="6"/>
  <c r="L33" i="6"/>
  <c r="V32" i="6"/>
  <c r="L32" i="6"/>
  <c r="V29" i="6"/>
  <c r="L29" i="6"/>
  <c r="V28" i="6"/>
  <c r="L28" i="6"/>
  <c r="V27" i="6"/>
  <c r="L27" i="6"/>
  <c r="V25" i="6"/>
  <c r="L25" i="6"/>
  <c r="V24" i="6"/>
  <c r="L24" i="6"/>
  <c r="V22" i="6"/>
  <c r="L22" i="6"/>
  <c r="V21" i="6"/>
  <c r="L21" i="6"/>
  <c r="V20" i="6"/>
  <c r="L20" i="6"/>
  <c r="K17" i="6" a="1"/>
  <c r="K17" i="6" s="1"/>
  <c r="J17" i="6" a="1"/>
  <c r="J17" i="6" s="1"/>
  <c r="V16" i="6"/>
  <c r="L16" i="6"/>
  <c r="K16" i="6" a="1"/>
  <c r="K16" i="6" s="1"/>
  <c r="J16" i="6" a="1"/>
  <c r="J16" i="6" s="1"/>
  <c r="V15" i="6"/>
  <c r="L15" i="6"/>
  <c r="K15" i="6" a="1"/>
  <c r="K15" i="6" s="1"/>
  <c r="J15" i="6" a="1"/>
  <c r="J15" i="6" s="1"/>
  <c r="V14" i="6"/>
  <c r="L14" i="6"/>
  <c r="K14" i="6" a="1"/>
  <c r="K14" i="6" s="1"/>
  <c r="J14" i="6" a="1"/>
  <c r="J14" i="6" s="1"/>
  <c r="K12" i="6" a="1"/>
  <c r="K12" i="6" s="1"/>
  <c r="J12" i="6" a="1"/>
  <c r="J12" i="6" s="1"/>
  <c r="V11" i="6"/>
  <c r="L11" i="6"/>
  <c r="K11" i="6" a="1"/>
  <c r="K11" i="6" s="1"/>
  <c r="J11" i="6" a="1"/>
  <c r="J11" i="6" s="1"/>
  <c r="V10" i="6"/>
  <c r="L10" i="6"/>
  <c r="K10" i="6" a="1"/>
  <c r="K10" i="6" s="1"/>
  <c r="J10" i="6" a="1"/>
  <c r="J10" i="6" s="1"/>
  <c r="V9" i="6"/>
  <c r="L9" i="6"/>
  <c r="K9" i="6" a="1"/>
  <c r="K9" i="6" s="1"/>
  <c r="J9" i="6" a="1"/>
  <c r="J9" i="6" s="1"/>
  <c r="V7" i="6"/>
  <c r="L7" i="6"/>
  <c r="K7" i="6" a="1"/>
  <c r="K7" i="6" s="1"/>
  <c r="J7" i="6" a="1"/>
  <c r="J7" i="6" s="1"/>
  <c r="V6" i="6"/>
  <c r="L6" i="6"/>
  <c r="K6" i="6" a="1"/>
  <c r="K6" i="6" s="1"/>
  <c r="J6" i="6" a="1"/>
  <c r="J6" i="6" s="1"/>
  <c r="V4" i="6"/>
  <c r="L4" i="6"/>
  <c r="K4" i="6" a="1"/>
  <c r="K4" i="6" s="1"/>
  <c r="J4" i="6" a="1"/>
  <c r="J4" i="6" s="1"/>
  <c r="V3" i="6"/>
  <c r="L3" i="6"/>
  <c r="K3" i="6" a="1"/>
  <c r="K3" i="6" s="1"/>
  <c r="J3" i="6" a="1"/>
  <c r="J3" i="6" s="1"/>
  <c r="V2" i="6"/>
  <c r="L2" i="6"/>
  <c r="K2" i="6" a="1"/>
  <c r="K2" i="6" s="1"/>
  <c r="J2" i="6" a="1"/>
  <c r="J2" i="6" s="1"/>
  <c r="K22" i="5" a="1"/>
  <c r="K22" i="5" s="1"/>
  <c r="J22" i="5" a="1"/>
  <c r="J22" i="5" s="1"/>
  <c r="K21" i="5" a="1"/>
  <c r="K21" i="5" s="1"/>
  <c r="J21" i="5" a="1"/>
  <c r="J21" i="5" s="1"/>
  <c r="K20" i="5" a="1"/>
  <c r="K20" i="5" s="1"/>
  <c r="K19" i="5" a="1"/>
  <c r="K19" i="5" s="1"/>
  <c r="J20" i="5" a="1"/>
  <c r="J20" i="5" s="1"/>
  <c r="J19" i="5" a="1"/>
  <c r="J19" i="5" s="1"/>
  <c r="L42" i="5"/>
  <c r="L43" i="5"/>
  <c r="L44" i="5"/>
  <c r="V44" i="5"/>
  <c r="V43" i="5"/>
  <c r="V42" i="5"/>
  <c r="V21" i="5"/>
  <c r="L21" i="5"/>
  <c r="V20" i="5"/>
  <c r="L20" i="5"/>
  <c r="V19" i="5"/>
  <c r="L19" i="5"/>
  <c r="K17" i="5" a="1"/>
  <c r="K17" i="5" s="1"/>
  <c r="J17" i="5" a="1"/>
  <c r="J17" i="5" s="1"/>
  <c r="J9" i="5" a="1"/>
  <c r="J9" i="5" s="1"/>
  <c r="K9" i="5" a="1"/>
  <c r="K9" i="5" s="1"/>
  <c r="K8" i="5" a="1"/>
  <c r="K8" i="5" s="1"/>
  <c r="J8" i="5" a="1"/>
  <c r="J8" i="5" s="1"/>
  <c r="K10" i="5" a="1"/>
  <c r="K10" i="5" s="1"/>
  <c r="J10" i="5" a="1"/>
  <c r="J10" i="5" s="1"/>
  <c r="L10" i="5"/>
  <c r="L12" i="5"/>
  <c r="L33" i="5"/>
  <c r="L35" i="5"/>
  <c r="V27" i="5"/>
  <c r="V29" i="5"/>
  <c r="V30" i="5"/>
  <c r="V4" i="5"/>
  <c r="V6" i="5"/>
  <c r="V7" i="5"/>
  <c r="L27" i="5"/>
  <c r="L29" i="5"/>
  <c r="L30" i="5"/>
  <c r="L4" i="5"/>
  <c r="L6" i="5"/>
  <c r="L7" i="5"/>
  <c r="K4" i="5" a="1"/>
  <c r="K4" i="5" s="1"/>
  <c r="J4" i="5" a="1"/>
  <c r="J4" i="5" s="1"/>
  <c r="K7" i="5" a="1"/>
  <c r="K7" i="5" s="1"/>
  <c r="K6" i="5" a="1"/>
  <c r="K6" i="5" s="1"/>
  <c r="J14" i="5" a="1"/>
  <c r="J14" i="5" s="1"/>
  <c r="K14" i="5" a="1"/>
  <c r="K14" i="5" s="1"/>
  <c r="J7" i="5" a="1"/>
  <c r="J7" i="5" s="1"/>
  <c r="V39" i="5"/>
  <c r="V38" i="5"/>
  <c r="V37" i="5"/>
  <c r="V26" i="5"/>
  <c r="V25" i="5"/>
  <c r="V16" i="5"/>
  <c r="V15" i="5"/>
  <c r="V14" i="5"/>
  <c r="V3" i="5"/>
  <c r="V2" i="5"/>
  <c r="L3" i="5"/>
  <c r="L14" i="5"/>
  <c r="L15" i="5"/>
  <c r="L16" i="5"/>
  <c r="K15" i="5" a="1"/>
  <c r="K15" i="5" s="1"/>
  <c r="J15" i="5" a="1"/>
  <c r="J15" i="5" s="1"/>
  <c r="L39" i="5"/>
  <c r="L26" i="5"/>
  <c r="J16" i="5" a="1"/>
  <c r="J16" i="5" s="1"/>
  <c r="J6" i="5" a="1"/>
  <c r="J6" i="5" s="1"/>
  <c r="J3" i="5" a="1"/>
  <c r="J3" i="5" s="1"/>
  <c r="J2" i="5" a="1"/>
  <c r="J2" i="5" s="1"/>
  <c r="K16" i="5" a="1"/>
  <c r="K16" i="5" s="1"/>
  <c r="K3" i="5" a="1"/>
  <c r="K3" i="5" s="1"/>
  <c r="K2" i="5" a="1"/>
  <c r="K2" i="5" s="1"/>
  <c r="L38" i="5"/>
  <c r="L37" i="5"/>
  <c r="L25" i="5"/>
  <c r="L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<sst xmlns="http://schemas.openxmlformats.org/spreadsheetml/2006/main" count="204" uniqueCount="26">
  <si>
    <t>Accuracy</t>
    <phoneticPr fontId="1" type="noConversion"/>
  </si>
  <si>
    <t>NRR</t>
    <phoneticPr fontId="1" type="noConversion"/>
  </si>
  <si>
    <t>Accuracy_Std</t>
    <phoneticPr fontId="1" type="noConversion"/>
  </si>
  <si>
    <t>F1 Score</t>
    <phoneticPr fontId="1" type="noConversion"/>
  </si>
  <si>
    <t>F1 Score_Std</t>
    <phoneticPr fontId="1" type="noConversion"/>
  </si>
  <si>
    <t>Original FN, PCC</t>
    <phoneticPr fontId="1" type="noConversion"/>
  </si>
  <si>
    <t>Original FN, PLV</t>
    <phoneticPr fontId="1" type="noConversion"/>
  </si>
  <si>
    <t>Additive Fusion</t>
    <phoneticPr fontId="1" type="noConversion"/>
  </si>
  <si>
    <t>Multipicative Fusion</t>
    <phoneticPr fontId="1" type="noConversion"/>
  </si>
  <si>
    <t>AUC</t>
    <phoneticPr fontId="1" type="noConversion"/>
  </si>
  <si>
    <t>Original FN, PLI</t>
    <phoneticPr fontId="1" type="noConversion"/>
  </si>
  <si>
    <t>optimal params ()</t>
    <phoneticPr fontId="1" type="noConversion"/>
  </si>
  <si>
    <t>optimal params (heaviside)</t>
    <phoneticPr fontId="1" type="noConversion"/>
  </si>
  <si>
    <t>optimal params (k=50)</t>
    <phoneticPr fontId="1" type="noConversion"/>
  </si>
  <si>
    <t>PC-AEC</t>
    <phoneticPr fontId="1" type="noConversion"/>
  </si>
  <si>
    <t>PCC * σ(PLV)</t>
    <phoneticPr fontId="1" type="noConversion"/>
  </si>
  <si>
    <t>PCC * σ(PLI)</t>
    <phoneticPr fontId="1" type="noConversion"/>
  </si>
  <si>
    <t>PLV * σ(PLV)</t>
    <phoneticPr fontId="1" type="noConversion"/>
  </si>
  <si>
    <t>PLI * σ(PLI)</t>
    <phoneticPr fontId="1" type="noConversion"/>
  </si>
  <si>
    <t>PCC * σ(PCC)</t>
    <phoneticPr fontId="1" type="noConversion"/>
  </si>
  <si>
    <t>PLV * σ(PCC)</t>
    <phoneticPr fontId="1" type="noConversion"/>
  </si>
  <si>
    <t>PLI * σ(PCC)</t>
    <phoneticPr fontId="1" type="noConversion"/>
  </si>
  <si>
    <t>PCC &amp; PLV</t>
    <phoneticPr fontId="1" type="noConversion"/>
  </si>
  <si>
    <t>Splicing-1 (upper-lower triangular)</t>
    <phoneticPr fontId="1" type="noConversion"/>
  </si>
  <si>
    <t>Splicing-2 (diagonal blocking)</t>
    <phoneticPr fontId="1" type="noConversion"/>
  </si>
  <si>
    <t>PCC &amp; PLI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</si>
</sst>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91">
    <xf numFmtId="0" fontId="0" fillId="0" borderId="0" xfId="0"/>
    <xf numFmtId="0" fontId="2" fillId="3" borderId="0" xfId="0" applyFont="1" applyFill="1"/>
    <xf numFmtId="0" fontId="4" fillId="3" borderId="3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2" fillId="0" borderId="0" xfId="0" applyFont="1"/>
    <xf numFmtId="0" fontId="3" fillId="0" borderId="0" xfId="0" applyFont="1" applyAlignment="1">
      <alignment vertical="top"/>
    </xf>
    <xf numFmtId="0" fontId="2" fillId="2" borderId="0" xfId="0" applyFont="1" applyFill="1"/>
    <xf numFmtId="0" fontId="4" fillId="2" borderId="1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4" fillId="3" borderId="11" xfId="0" applyFont="1" applyFill="1" applyBorder="1" applyAlignment="1">
      <alignment horizontal="center" vertical="center"/>
    </xf>
    <xf numFmtId="0" fontId="3" fillId="3" borderId="0" xfId="0" applyFont="1" applyFill="1" applyAlignment="1">
      <alignment vertical="top"/>
    </xf>
    <xf numFmtId="0" fontId="3" fillId="3" borderId="0" xfId="0" applyFont="1" applyFill="1" applyAlignment="1">
      <alignment horizontal="center" vertical="top"/>
    </xf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2" borderId="12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2" fillId="3" borderId="4" xfId="0" applyFont="1" applyFill="1" applyBorder="1"/>
    <xf numFmtId="0" fontId="2" fillId="3" borderId="12" xfId="0" applyFont="1" applyFill="1" applyBorder="1"/>
    <xf numFmtId="0" fontId="2" fillId="3" borderId="5" xfId="0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7D530-62F3-45D6-8CBF-3B0602E24BE5}">
  <dimension ref="A1:V41"/>
  <sheetViews>
    <sheetView tabSelected="1" zoomScaleNormal="100" workbookViewId="0"/>
  </sheetViews>
  <sheetFormatPr defaultRowHeight="14.25" x14ac:dyDescent="0.2"/>
  <cols>
    <col min="1" max="1" width="25" style="10" customWidth="1"/>
    <col min="2" max="2" width="15" style="10" customWidth="1"/>
    <col min="3" max="12" width="9" style="10"/>
    <col min="13" max="13" width="25" style="10" customWidth="1"/>
    <col min="14" max="14" width="15" style="10" customWidth="1"/>
    <col min="15" max="16384" width="9" style="10"/>
  </cols>
  <sheetData>
    <row r="1" spans="1:22" ht="15.75" thickBot="1" x14ac:dyDescent="0.25">
      <c r="A1" s="3" t="s">
        <v>0</v>
      </c>
      <c r="B1" s="13" t="s">
        <v>1</v>
      </c>
      <c r="C1" s="17">
        <v>1</v>
      </c>
      <c r="D1" s="17">
        <v>0.75</v>
      </c>
      <c r="E1" s="17">
        <v>0.5</v>
      </c>
      <c r="F1" s="17">
        <v>0.3</v>
      </c>
      <c r="G1" s="17">
        <v>0.2</v>
      </c>
      <c r="H1" s="17">
        <v>0.1</v>
      </c>
      <c r="I1" s="6">
        <v>0.05</v>
      </c>
      <c r="J1" s="18" t="s">
        <v>9</v>
      </c>
      <c r="K1" s="18" t="s">
        <v>9</v>
      </c>
      <c r="L1" s="12"/>
      <c r="M1" s="3" t="s">
        <v>2</v>
      </c>
      <c r="N1" s="13" t="s">
        <v>1</v>
      </c>
      <c r="O1" s="7">
        <v>1</v>
      </c>
      <c r="P1" s="17">
        <v>0.75</v>
      </c>
      <c r="Q1" s="17">
        <v>0.5</v>
      </c>
      <c r="R1" s="17">
        <v>0.3</v>
      </c>
      <c r="S1" s="17">
        <v>0.2</v>
      </c>
      <c r="T1" s="17">
        <v>0.1</v>
      </c>
      <c r="U1" s="6">
        <v>0.05</v>
      </c>
      <c r="V1" s="12"/>
    </row>
    <row r="2" spans="1:22" ht="15.75" thickBot="1" x14ac:dyDescent="0.25">
      <c r="A2" s="83" t="s">
        <v>5</v>
      </c>
      <c r="B2" s="84"/>
      <c r="C2" s="20">
        <v>93.101364775358491</v>
      </c>
      <c r="D2" s="21">
        <v>91.326663725464783</v>
      </c>
      <c r="E2" s="21">
        <v>89.722561037148537</v>
      </c>
      <c r="F2" s="21">
        <v>83.857204647099024</v>
      </c>
      <c r="G2" s="21">
        <v>76.242949045118635</v>
      </c>
      <c r="H2" s="21">
        <v>60.40277741733636</v>
      </c>
      <c r="I2" s="22">
        <v>47.740900296138662</v>
      </c>
      <c r="J2" s="23" cm="1">
        <f t="array" ref="J2">-SUMPRODUCT((D1:H1-C1:G1)*(C2:G2+D2:H2)/2)</f>
        <v>77.879927234087958</v>
      </c>
      <c r="K2" s="23" cm="1">
        <f t="array" ref="K2">-SUMPRODUCT((D1:I1-C1:H1)*(C2:H2+D2:I2)/2)</f>
        <v>80.583519176924838</v>
      </c>
      <c r="L2" s="12" t="str">
        <f>"    "&amp;_xlfn.TEXTJOIN(", ",TRUE,C2:I2)&amp;","</f>
        <v xml:space="preserve">    93.1013647753585, 91.3266637254648, 89.7225610371485, 83.857204647099, 76.2429490451186, 60.4027774173364, 47.7409002961387,</v>
      </c>
      <c r="M2" s="83" t="s">
        <v>5</v>
      </c>
      <c r="N2" s="84"/>
      <c r="O2" s="37">
        <v>3.4649270444699574</v>
      </c>
      <c r="P2" s="38">
        <v>4.4611797621615326</v>
      </c>
      <c r="Q2" s="38">
        <v>4.7712065248821434</v>
      </c>
      <c r="R2" s="38">
        <v>5.3965689103010375</v>
      </c>
      <c r="S2" s="38">
        <v>7.9323757260741923</v>
      </c>
      <c r="T2" s="38">
        <v>9.9900413492801565</v>
      </c>
      <c r="U2" s="39">
        <v>9.7565309936118432</v>
      </c>
      <c r="V2" s="12" t="str">
        <f>"    "&amp;_xlfn.TEXTJOIN(", ",TRUE,O2:U2)&amp;","</f>
        <v xml:space="preserve">    3.46492704446996, 4.46117976216153, 4.77120652488214, 5.39656891030104, 7.93237572607419, 9.99004134928016, 9.75653099361184,</v>
      </c>
    </row>
    <row r="3" spans="1:22" ht="15.75" thickBot="1" x14ac:dyDescent="0.25">
      <c r="A3" s="83" t="s">
        <v>6</v>
      </c>
      <c r="B3" s="84"/>
      <c r="C3" s="37">
        <v>93.273358766079312</v>
      </c>
      <c r="D3" s="38">
        <v>91.615587793435367</v>
      </c>
      <c r="E3" s="38">
        <v>90.62053304959386</v>
      </c>
      <c r="F3" s="38">
        <v>86.59751381932368</v>
      </c>
      <c r="G3" s="38">
        <v>78.22435026831262</v>
      </c>
      <c r="H3" s="38">
        <v>60.854992978601317</v>
      </c>
      <c r="I3" s="39">
        <v>48.743933771053378</v>
      </c>
      <c r="J3" s="41" cm="1">
        <f t="array" ref="J3">-SUMPRODUCT((D1:H1-C1:G1)*(C3:G3+D3:H3)/2)</f>
        <v>78.807498478937248</v>
      </c>
      <c r="K3" s="41" cm="1">
        <f t="array" ref="K3">-SUMPRODUCT((D1:I1-C1:H1)*(C3:H3+D3:I3)/2)</f>
        <v>81.54747164767862</v>
      </c>
      <c r="L3" s="12" t="str">
        <f t="shared" ref="L3:L4" si="0">"    "&amp;_xlfn.TEXTJOIN(", ",TRUE,C3:I3)&amp;","</f>
        <v xml:space="preserve">    93.2733587660793, 91.6155877934354, 90.6205330495939, 86.5975138193237, 78.2243502683126, 60.8549929786013, 48.7439337710534,</v>
      </c>
      <c r="M3" s="83" t="s">
        <v>6</v>
      </c>
      <c r="N3" s="84"/>
      <c r="O3" s="37">
        <v>3.4672469457762647</v>
      </c>
      <c r="P3" s="38">
        <v>4.1066373858138912</v>
      </c>
      <c r="Q3" s="38">
        <v>4.4433442831389707</v>
      </c>
      <c r="R3" s="38">
        <v>4.8572661690244194</v>
      </c>
      <c r="S3" s="38">
        <v>6.7334065011993722</v>
      </c>
      <c r="T3" s="38">
        <v>9.3055912140758643</v>
      </c>
      <c r="U3" s="39">
        <v>9.1853207799272329</v>
      </c>
      <c r="V3" s="12" t="str">
        <f t="shared" ref="V3:V4" si="1">"    "&amp;_xlfn.TEXTJOIN(", ",TRUE,O3:U3)&amp;","</f>
        <v xml:space="preserve">    3.46724694577626, 4.10663738581389, 4.44334428313897, 4.85726616902442, 6.73340650119937, 9.30559121407586, 9.18532077992723,</v>
      </c>
    </row>
    <row r="4" spans="1:22" ht="15.75" thickBot="1" x14ac:dyDescent="0.25">
      <c r="A4" s="83" t="s">
        <v>10</v>
      </c>
      <c r="B4" s="84"/>
      <c r="C4" s="24">
        <v>87.593900000000005</v>
      </c>
      <c r="D4" s="32">
        <v>87.663716814159287</v>
      </c>
      <c r="E4" s="32">
        <v>88.112094395280209</v>
      </c>
      <c r="F4" s="32">
        <v>87.970025692263789</v>
      </c>
      <c r="G4" s="32">
        <v>87.461708146264243</v>
      </c>
      <c r="H4" s="32">
        <v>75.251363189416281</v>
      </c>
      <c r="I4" s="33">
        <v>47.720683858280204</v>
      </c>
      <c r="J4" s="41" cm="1">
        <f t="array" ref="J4">-SUMPRODUCT((D1:H1-C1:G1)*(C4:G4+D4:H4)/2)</f>
        <v>78.394630770414679</v>
      </c>
      <c r="K4" s="41" cm="1">
        <f t="array" ref="K4">-SUMPRODUCT((D1:I1-C1:H1)*(C4:H4+D4:I4)/2)</f>
        <v>81.468931946607086</v>
      </c>
      <c r="L4" s="12" t="str">
        <f t="shared" si="0"/>
        <v xml:space="preserve">    87.5939, 87.6637168141593, 88.1120943952802, 87.9700256922638, 87.4617081462642, 75.2513631894163, 47.7206838582802,</v>
      </c>
      <c r="M4" s="83" t="s">
        <v>10</v>
      </c>
      <c r="N4" s="84"/>
      <c r="O4" s="55">
        <v>2.4529187882918819</v>
      </c>
      <c r="P4" s="32">
        <v>2.16276566139488</v>
      </c>
      <c r="Q4" s="32">
        <v>2.2973398804747198</v>
      </c>
      <c r="R4" s="32">
        <v>2.134165319654592</v>
      </c>
      <c r="S4" s="32">
        <v>2.3834878752826651</v>
      </c>
      <c r="T4" s="32">
        <v>3.787986046410059</v>
      </c>
      <c r="U4" s="33">
        <v>3.7419646549723868</v>
      </c>
      <c r="V4" s="12" t="str">
        <f t="shared" si="1"/>
        <v xml:space="preserve">    2.45291878829188, 2.16276566139488, 2.29733988047472, 2.13416531965459, 2.38348787528267, 3.78798604641006, 3.74196465497239,</v>
      </c>
    </row>
    <row r="5" spans="1:22" ht="15.75" thickBot="1" x14ac:dyDescent="0.25">
      <c r="A5" s="83" t="s">
        <v>14</v>
      </c>
      <c r="B5" s="85"/>
      <c r="C5" s="85"/>
      <c r="D5" s="85"/>
      <c r="E5" s="85"/>
      <c r="F5" s="85"/>
      <c r="G5" s="85"/>
      <c r="H5" s="85"/>
      <c r="I5" s="84"/>
      <c r="J5" s="41"/>
      <c r="K5" s="41"/>
      <c r="L5" s="12"/>
      <c r="M5" s="83" t="s">
        <v>14</v>
      </c>
      <c r="N5" s="85"/>
      <c r="O5" s="85"/>
      <c r="P5" s="85"/>
      <c r="Q5" s="85"/>
      <c r="R5" s="85"/>
      <c r="S5" s="85"/>
      <c r="T5" s="85"/>
      <c r="U5" s="84"/>
      <c r="V5" s="12"/>
    </row>
    <row r="6" spans="1:22" ht="15.75" customHeight="1" thickBot="1" x14ac:dyDescent="0.25">
      <c r="A6" s="7" t="s">
        <v>12</v>
      </c>
      <c r="B6" s="8" t="s">
        <v>15</v>
      </c>
      <c r="C6" s="25">
        <v>93.176991150442475</v>
      </c>
      <c r="D6" s="26">
        <v>92.551622418879049</v>
      </c>
      <c r="E6" s="26">
        <v>91.770912089781632</v>
      </c>
      <c r="F6" s="26">
        <v>88.774349259076644</v>
      </c>
      <c r="G6" s="26">
        <v>85.119574275440684</v>
      </c>
      <c r="H6" s="26">
        <v>65.55219912513661</v>
      </c>
      <c r="I6" s="27">
        <v>55.581651513709751</v>
      </c>
      <c r="J6" s="41" cm="1">
        <f t="array" ref="J6">-SUMPRODUCT((D1:H1-C1:G1)*(C6:G6+D6:H6)/2)</f>
        <v>80.539204491388332</v>
      </c>
      <c r="K6" s="41" cm="1">
        <f t="array" ref="K6">-SUMPRODUCT((D1:I1-C1:H1)*(C6:H6+D6:I6)/2)</f>
        <v>83.567550757359498</v>
      </c>
      <c r="L6" s="12" t="str">
        <f t="shared" ref="L6:L7" si="2">"    "&amp;_xlfn.TEXTJOIN(", ",TRUE,C6:I6)&amp;","</f>
        <v xml:space="preserve">    93.1769911504425, 92.551622418879, 91.7709120897816, 88.7743492590766, 85.1195742754407, 65.5521991251366, 55.5816515137098,</v>
      </c>
      <c r="M6" s="7" t="s">
        <v>12</v>
      </c>
      <c r="N6" s="8" t="s">
        <v>15</v>
      </c>
      <c r="O6" s="25">
        <v>3.3980555340015428</v>
      </c>
      <c r="P6" s="26">
        <v>3.2526209506201238</v>
      </c>
      <c r="Q6" s="26">
        <v>3.463276500799247</v>
      </c>
      <c r="R6" s="26">
        <v>4.4197147654757591</v>
      </c>
      <c r="S6" s="26">
        <v>4.9008511372208474</v>
      </c>
      <c r="T6" s="26">
        <v>8.1544027156793923</v>
      </c>
      <c r="U6" s="27">
        <v>8.3944532618135348</v>
      </c>
      <c r="V6" s="12" t="str">
        <f t="shared" ref="V6:V7" si="3">"    "&amp;_xlfn.TEXTJOIN(", ",TRUE,O6:U6)&amp;","</f>
        <v xml:space="preserve">    3.39805553400154, 3.25262095062012, 3.46327650079925, 4.41971476547576, 4.90085113722085, 8.15440271567939, 8.39445326181353,</v>
      </c>
    </row>
    <row r="7" spans="1:22" ht="15.75" customHeight="1" thickBot="1" x14ac:dyDescent="0.25">
      <c r="A7" s="7" t="s">
        <v>13</v>
      </c>
      <c r="B7" s="8" t="s">
        <v>16</v>
      </c>
      <c r="C7" s="40">
        <v>92.538862792930757</v>
      </c>
      <c r="D7" s="41">
        <v>92.596859257721377</v>
      </c>
      <c r="E7" s="41">
        <v>92.131765845725312</v>
      </c>
      <c r="F7" s="41">
        <v>91.399484424605745</v>
      </c>
      <c r="G7" s="41">
        <v>88.38645086318509</v>
      </c>
      <c r="H7" s="41">
        <v>71.063506893081538</v>
      </c>
      <c r="I7" s="42">
        <v>52.957470797036883</v>
      </c>
      <c r="J7" s="41" cm="1">
        <f t="array" ref="J7">-SUMPRODUCT((D1:H1-C1:G1)*(C7:G7+D7:H7)/2)</f>
        <v>81.547963073498323</v>
      </c>
      <c r="K7" s="41" cm="1">
        <f t="array" ref="K7">-SUMPRODUCT((D1:I1-C1:H1)*(C7:H7+D7:I7)/2)</f>
        <v>84.648487515751285</v>
      </c>
      <c r="L7" s="12" t="str">
        <f t="shared" si="2"/>
        <v xml:space="preserve">    92.5388627929308, 92.5968592577214, 92.1317658457253, 91.3994844246057, 88.3864508631851, 71.0635068930815, 52.9574707970369,</v>
      </c>
      <c r="M7" s="7" t="s">
        <v>13</v>
      </c>
      <c r="N7" s="8" t="s">
        <v>16</v>
      </c>
      <c r="O7" s="40">
        <v>3.278810540442274</v>
      </c>
      <c r="P7" s="41">
        <v>3.2750469252400021</v>
      </c>
      <c r="Q7" s="41">
        <v>3.0872319165878661</v>
      </c>
      <c r="R7" s="41">
        <v>3.116510241534836</v>
      </c>
      <c r="S7" s="41">
        <v>3.6330124165638931</v>
      </c>
      <c r="T7" s="41">
        <v>5.8392378785926198</v>
      </c>
      <c r="U7" s="42">
        <v>5.8333958789788376</v>
      </c>
      <c r="V7" s="12" t="str">
        <f t="shared" si="3"/>
        <v xml:space="preserve">    3.27881054044227, 3.27504692524, 3.08723191658787, 3.11651024153484, 3.63301241656389, 5.83923787859262, 5.83339587897884,</v>
      </c>
    </row>
    <row r="8" spans="1:22" ht="15.75" thickBot="1" x14ac:dyDescent="0.25">
      <c r="A8" s="83" t="s">
        <v>22</v>
      </c>
      <c r="B8" s="85"/>
      <c r="C8" s="90"/>
      <c r="D8" s="90"/>
      <c r="E8" s="90"/>
      <c r="F8" s="90"/>
      <c r="G8" s="90"/>
      <c r="H8" s="90"/>
      <c r="I8" s="89"/>
      <c r="J8" s="41"/>
      <c r="K8" s="41"/>
      <c r="L8" s="12"/>
      <c r="M8" s="83" t="s">
        <v>22</v>
      </c>
      <c r="N8" s="85"/>
      <c r="O8" s="90"/>
      <c r="P8" s="90"/>
      <c r="Q8" s="90"/>
      <c r="R8" s="90"/>
      <c r="S8" s="90"/>
      <c r="T8" s="90"/>
      <c r="U8" s="89"/>
      <c r="V8" s="12"/>
    </row>
    <row r="9" spans="1:22" ht="15.75" customHeight="1" thickBot="1" x14ac:dyDescent="0.25">
      <c r="A9" s="83" t="s">
        <v>7</v>
      </c>
      <c r="B9" s="84"/>
      <c r="C9" s="37">
        <v>93.782740335124032</v>
      </c>
      <c r="D9" s="38">
        <v>91.948208894540599</v>
      </c>
      <c r="E9" s="38">
        <v>90.212980504444957</v>
      </c>
      <c r="F9" s="38">
        <v>84.630388959535409</v>
      </c>
      <c r="G9" s="38">
        <v>75.371093175546491</v>
      </c>
      <c r="H9" s="38">
        <v>59.627211308056303</v>
      </c>
      <c r="I9" s="39">
        <v>47.844185503334799</v>
      </c>
      <c r="J9" s="41" cm="1">
        <f t="array" ref="J9">-SUMPRODUCT((D1:H1-C1:G1)*(C9:G9+D9:H9)/2)</f>
        <v>78.220843605913544</v>
      </c>
      <c r="K9" s="41" cm="1">
        <f t="array" ref="K9">-SUMPRODUCT((D1:I1-C1:H1)*(C9:H9+D9:I9)/2)</f>
        <v>80.907628526198323</v>
      </c>
      <c r="L9" s="12" t="str">
        <f t="shared" ref="L9:L12" si="4">"    "&amp;_xlfn.TEXTJOIN(", ",TRUE,C9:I9)&amp;","</f>
        <v xml:space="preserve">    93.782740335124, 91.9482088945406, 90.212980504445, 84.6303889595354, 75.3710931755465, 59.6272113080563, 47.8441855033348,</v>
      </c>
      <c r="M9" s="83" t="s">
        <v>7</v>
      </c>
      <c r="N9" s="84"/>
      <c r="O9" s="37">
        <v>3.5391983918820551</v>
      </c>
      <c r="P9" s="38">
        <v>4.1060038651541966</v>
      </c>
      <c r="Q9" s="38">
        <v>4.774795806468676</v>
      </c>
      <c r="R9" s="38">
        <v>5.3483339064680431</v>
      </c>
      <c r="S9" s="38">
        <v>8.0994903921197494</v>
      </c>
      <c r="T9" s="38">
        <v>10.59987402205407</v>
      </c>
      <c r="U9" s="39">
        <v>8.7604668874903737</v>
      </c>
      <c r="V9" s="12" t="str">
        <f t="shared" ref="V9:V12" si="5">"    "&amp;_xlfn.TEXTJOIN(", ",TRUE,O9:U9)&amp;","</f>
        <v xml:space="preserve">    3.53919839188206, 4.1060038651542, 4.77479580646868, 5.34833390646804, 8.09949039211975, 10.5998740220541, 8.76046688749037,</v>
      </c>
    </row>
    <row r="10" spans="1:22" ht="15.75" customHeight="1" thickBot="1" x14ac:dyDescent="0.25">
      <c r="A10" s="88" t="s">
        <v>8</v>
      </c>
      <c r="B10" s="89"/>
      <c r="C10" s="40">
        <v>93.226230330712227</v>
      </c>
      <c r="D10" s="41">
        <v>91.83329152212967</v>
      </c>
      <c r="E10" s="41">
        <v>90.325291164571794</v>
      </c>
      <c r="F10" s="41">
        <v>85.383492360083878</v>
      </c>
      <c r="G10" s="41">
        <v>76.567000291236639</v>
      </c>
      <c r="H10" s="41">
        <v>59.41454222499042</v>
      </c>
      <c r="I10" s="42">
        <v>50.563407411252108</v>
      </c>
      <c r="J10" s="41" cm="1">
        <f t="array" ref="J10">-SUMPRODUCT((D1:H1-C1:G1)*(C10:G10+D10:H10)/2)</f>
        <v>78.369743178285859</v>
      </c>
      <c r="K10" s="41" cm="1">
        <f t="array" ref="K10">-SUMPRODUCT((D1:I1-C1:H1)*(C10:H10+D10:I10)/2)</f>
        <v>81.11919191919192</v>
      </c>
      <c r="L10" s="12" t="str">
        <f t="shared" si="4"/>
        <v xml:space="preserve">    93.2262303307122, 91.8332915221297, 90.3252911645718, 85.3834923600839, 76.5670002912366, 59.4145422249904, 50.5634074112521,</v>
      </c>
      <c r="M10" s="83" t="s">
        <v>8</v>
      </c>
      <c r="N10" s="84"/>
      <c r="O10" s="40">
        <v>3.945711842949601</v>
      </c>
      <c r="P10" s="41">
        <v>4.8525950161134093</v>
      </c>
      <c r="Q10" s="41">
        <v>4.4346894499148144</v>
      </c>
      <c r="R10" s="41">
        <v>5.4810029574676529</v>
      </c>
      <c r="S10" s="41">
        <v>8.4636725644600066</v>
      </c>
      <c r="T10" s="41">
        <v>10.788297692871961</v>
      </c>
      <c r="U10" s="42">
        <v>8.7433484877826491</v>
      </c>
      <c r="V10" s="12" t="str">
        <f t="shared" si="5"/>
        <v xml:space="preserve">    3.9457118429496, 4.85259501611341, 4.43468944991481, 5.48100295746765, 8.46367256446001, 10.788297692872, 8.74334848778265,</v>
      </c>
    </row>
    <row r="11" spans="1:22" ht="15.75" customHeight="1" thickBot="1" x14ac:dyDescent="0.25">
      <c r="A11" s="83" t="s">
        <v>23</v>
      </c>
      <c r="B11" s="84"/>
      <c r="C11" s="40">
        <v>93.004922187908207</v>
      </c>
      <c r="D11" s="41">
        <v>91.518502178507859</v>
      </c>
      <c r="E11" s="41">
        <v>89.729420958082102</v>
      </c>
      <c r="F11" s="41">
        <v>83.348607398564567</v>
      </c>
      <c r="G11" s="41">
        <v>74.087719905304837</v>
      </c>
      <c r="H11" s="41">
        <v>57.917332041511322</v>
      </c>
      <c r="I11" s="42">
        <v>48.007794185070807</v>
      </c>
      <c r="J11" s="41" cm="1">
        <f t="array" ref="J11">-SUMPRODUCT((D1:H1-C1:G1)*(C11:G11+D11:H11)/2)</f>
        <v>77.501290236074709</v>
      </c>
      <c r="K11" s="41" cm="1">
        <f t="array" ref="K11">-SUMPRODUCT((D1:I1-C1:H1)*(C11:H11+D11:I11)/2)</f>
        <v>80.14941839173926</v>
      </c>
      <c r="L11" s="12" t="str">
        <f t="shared" si="4"/>
        <v xml:space="preserve">    93.0049221879082, 91.5185021785079, 89.7294209580821, 83.3486073985646, 74.0877199053048, 57.9173320415113, 48.0077941850708,</v>
      </c>
      <c r="M11" s="83" t="s">
        <v>23</v>
      </c>
      <c r="N11" s="84"/>
      <c r="O11" s="40">
        <v>3.690401528555848</v>
      </c>
      <c r="P11" s="41">
        <v>4.2469367469027457</v>
      </c>
      <c r="Q11" s="41">
        <v>4.4611096369834957</v>
      </c>
      <c r="R11" s="41">
        <v>5.4089286426803449</v>
      </c>
      <c r="S11" s="41">
        <v>9.092124974067179</v>
      </c>
      <c r="T11" s="41">
        <v>10.83557708581068</v>
      </c>
      <c r="U11" s="42">
        <v>9.2904800440053528</v>
      </c>
      <c r="V11" s="12" t="str">
        <f t="shared" si="5"/>
        <v xml:space="preserve">    3.69040152855585, 4.24693674690275, 4.4611096369835, 5.40892864268034, 9.09212497406718, 10.8355770858107, 9.29048004400535,</v>
      </c>
    </row>
    <row r="12" spans="1:22" ht="15.75" customHeight="1" thickBot="1" x14ac:dyDescent="0.25">
      <c r="A12" s="83" t="s">
        <v>24</v>
      </c>
      <c r="B12" s="84"/>
      <c r="C12" s="43">
        <v>93.123279613145442</v>
      </c>
      <c r="D12" s="44">
        <v>91.674385879923975</v>
      </c>
      <c r="E12" s="44">
        <v>89.698688281617194</v>
      </c>
      <c r="F12" s="44">
        <v>84.957067102656595</v>
      </c>
      <c r="G12" s="44">
        <v>75.939082518014857</v>
      </c>
      <c r="H12" s="44">
        <v>59.995092229748238</v>
      </c>
      <c r="I12" s="45">
        <v>48.440303693515233</v>
      </c>
      <c r="J12" s="41" cm="1">
        <f t="array" ref="J12">-SUMPRODUCT((D1:H1-C1:G1)*(C12:G12+D12:H12)/2)</f>
        <v>78.078434213675436</v>
      </c>
      <c r="K12" s="41" cm="1">
        <f t="array" ref="K12">-SUMPRODUCT((D1:I1-C1:H1)*(C12:H12+D12:I12)/2)</f>
        <v>80.789319111757024</v>
      </c>
      <c r="L12" s="12" t="str">
        <f t="shared" si="4"/>
        <v xml:space="preserve">    93.1232796131454, 91.674385879924, 89.6986882816172, 84.9570671026566, 75.9390825180149, 59.9950922297482, 48.4403036935152,</v>
      </c>
      <c r="M12" s="83" t="s">
        <v>24</v>
      </c>
      <c r="N12" s="84"/>
      <c r="O12" s="43">
        <v>3.8088682011350912</v>
      </c>
      <c r="P12" s="44">
        <v>4.4783864386850611</v>
      </c>
      <c r="Q12" s="44">
        <v>5.0849840192173117</v>
      </c>
      <c r="R12" s="44">
        <v>5.0366327026230584</v>
      </c>
      <c r="S12" s="44">
        <v>7.6643798786674449</v>
      </c>
      <c r="T12" s="44">
        <v>10.05146904627655</v>
      </c>
      <c r="U12" s="45">
        <v>9.821397671709315</v>
      </c>
      <c r="V12" s="12" t="str">
        <f t="shared" si="5"/>
        <v xml:space="preserve">    3.80886820113509, 4.47838643868506, 5.08498401921731, 5.03663270262306, 7.66437987866744, 10.0514690462765, 9.82139767170931,</v>
      </c>
    </row>
    <row r="13" spans="1:22" ht="15.75" customHeight="1" thickBot="1" x14ac:dyDescent="0.25">
      <c r="A13" s="83" t="s">
        <v>25</v>
      </c>
      <c r="B13" s="85"/>
      <c r="C13" s="86"/>
      <c r="D13" s="86"/>
      <c r="E13" s="86"/>
      <c r="F13" s="86"/>
      <c r="G13" s="86"/>
      <c r="H13" s="86"/>
      <c r="I13" s="87"/>
      <c r="J13" s="41"/>
      <c r="K13" s="41"/>
      <c r="L13" s="12"/>
      <c r="M13" s="83" t="s">
        <v>25</v>
      </c>
      <c r="N13" s="85"/>
      <c r="O13" s="86"/>
      <c r="P13" s="86"/>
      <c r="Q13" s="86"/>
      <c r="R13" s="86"/>
      <c r="S13" s="86"/>
      <c r="T13" s="86"/>
      <c r="U13" s="87"/>
      <c r="V13" s="12"/>
    </row>
    <row r="14" spans="1:22" ht="15.75" customHeight="1" thickBot="1" x14ac:dyDescent="0.25">
      <c r="A14" s="83" t="s">
        <v>7</v>
      </c>
      <c r="B14" s="84"/>
      <c r="C14" s="37">
        <v>92.969518190757128</v>
      </c>
      <c r="D14" s="38">
        <v>91.851524090462149</v>
      </c>
      <c r="E14" s="38">
        <v>90.756145526057011</v>
      </c>
      <c r="F14" s="38">
        <v>87.253136561158271</v>
      </c>
      <c r="G14" s="38">
        <v>81.178972136437139</v>
      </c>
      <c r="H14" s="38">
        <v>57.386929529378847</v>
      </c>
      <c r="I14" s="39">
        <v>44.855442809482213</v>
      </c>
      <c r="J14" s="41" cm="1">
        <f t="array" ref="J14">-SUMPRODUCT((D1:H1-C1:G1)*(C14:G14+D14:H14)/2)</f>
        <v>79.079417714109411</v>
      </c>
      <c r="K14" s="41" cm="1">
        <f t="array" ref="K14">-SUMPRODUCT((D1:I1-C1:H1)*(C14:H14+D14:I14)/2)</f>
        <v>81.635477022580943</v>
      </c>
      <c r="L14" s="12" t="str">
        <f t="shared" ref="L14:L17" si="6">"    "&amp;_xlfn.TEXTJOIN(", ",TRUE,C14:I14)&amp;","</f>
        <v xml:space="preserve">    92.9695181907571, 91.8515240904621, 90.756145526057, 87.2531365611583, 81.1789721364371, 57.3869295293788, 44.8554428094822,</v>
      </c>
      <c r="M14" s="83" t="s">
        <v>7</v>
      </c>
      <c r="N14" s="84"/>
      <c r="O14" s="37">
        <v>3.3991921823554931</v>
      </c>
      <c r="P14" s="38">
        <v>3.6561489783789969</v>
      </c>
      <c r="Q14" s="38">
        <v>3.4316179388806831</v>
      </c>
      <c r="R14" s="38">
        <v>3.3610781227617821</v>
      </c>
      <c r="S14" s="38">
        <v>5.2773835873092807</v>
      </c>
      <c r="T14" s="38">
        <v>8.2027130196510409</v>
      </c>
      <c r="U14" s="39">
        <v>5.203571843512913</v>
      </c>
      <c r="V14" s="12" t="str">
        <f t="shared" ref="V14:V17" si="7">"    "&amp;_xlfn.TEXTJOIN(", ",TRUE,O14:U14)&amp;","</f>
        <v xml:space="preserve">    3.39919218235549, 3.656148978379, 3.43161793888068, 3.36107812276178, 5.27738358730928, 8.20271301965104, 5.20357184351291,</v>
      </c>
    </row>
    <row r="15" spans="1:22" ht="15.75" customHeight="1" thickBot="1" x14ac:dyDescent="0.25">
      <c r="A15" s="88" t="s">
        <v>8</v>
      </c>
      <c r="B15" s="89"/>
      <c r="C15" s="40">
        <v>91.898721730580135</v>
      </c>
      <c r="D15" s="41">
        <v>90.765995668936</v>
      </c>
      <c r="E15" s="41">
        <v>89.705268500015848</v>
      </c>
      <c r="F15" s="41">
        <v>87.959685349065893</v>
      </c>
      <c r="G15" s="41">
        <v>85.750000720882824</v>
      </c>
      <c r="H15" s="41">
        <v>71.387388010853613</v>
      </c>
      <c r="I15" s="42">
        <v>45.596343105620853</v>
      </c>
      <c r="J15" s="41" cm="1">
        <f t="array" ref="J15">-SUMPRODUCT((D1:H1-C1:G1)*(C15:G15+D15:H15)/2)</f>
        <v>79.700846821050931</v>
      </c>
      <c r="K15" s="41" cm="1">
        <f t="array" ref="K15">-SUMPRODUCT((D1:I1-C1:H1)*(C15:H15+D15:I15)/2)</f>
        <v>82.625440098962798</v>
      </c>
      <c r="L15" s="12" t="str">
        <f t="shared" si="6"/>
        <v xml:space="preserve">    91.8987217305801, 90.765995668936, 89.7052685000158, 87.9596853490659, 85.7500007208828, 71.3873880108536, 45.5963431056209,</v>
      </c>
      <c r="M15" s="83" t="s">
        <v>8</v>
      </c>
      <c r="N15" s="84"/>
      <c r="O15" s="40">
        <v>3.190312271555559</v>
      </c>
      <c r="P15" s="41">
        <v>2.8828036064622768</v>
      </c>
      <c r="Q15" s="41">
        <v>2.5884740771146331</v>
      </c>
      <c r="R15" s="41">
        <v>2.6213450470877251</v>
      </c>
      <c r="S15" s="41">
        <v>3.203569989687661</v>
      </c>
      <c r="T15" s="41">
        <v>4.756712112750666</v>
      </c>
      <c r="U15" s="42">
        <v>2.488810891584841</v>
      </c>
      <c r="V15" s="12" t="str">
        <f t="shared" si="7"/>
        <v xml:space="preserve">    3.19031227155556, 2.88280360646228, 2.58847407711463, 2.62134504708773, 3.20356998968766, 4.75671211275067, 2.48881089158484,</v>
      </c>
    </row>
    <row r="16" spans="1:22" ht="15.75" customHeight="1" thickBot="1" x14ac:dyDescent="0.25">
      <c r="A16" s="83" t="s">
        <v>23</v>
      </c>
      <c r="B16" s="84"/>
      <c r="C16" s="40">
        <v>93.044276622923505</v>
      </c>
      <c r="D16" s="41">
        <v>91.935155148400938</v>
      </c>
      <c r="E16" s="41">
        <v>90.94889229145582</v>
      </c>
      <c r="F16" s="41">
        <v>85.952505356159378</v>
      </c>
      <c r="G16" s="41">
        <v>78.915183810701947</v>
      </c>
      <c r="H16" s="41">
        <v>59.442100133507502</v>
      </c>
      <c r="I16" s="42">
        <v>49.533828147302302</v>
      </c>
      <c r="J16" s="41" cm="1">
        <f t="array" ref="J16">-SUMPRODUCT((D1:H1-C1:G1)*(C16:G16+D16:H16)/2)</f>
        <v>78.834323321712716</v>
      </c>
      <c r="K16" s="41" cm="1">
        <f t="array" ref="K16">-SUMPRODUCT((D1:I1-C1:H1)*(C16:H16+D16:I16)/2)</f>
        <v>81.55872152873296</v>
      </c>
      <c r="L16" s="12" t="str">
        <f t="shared" si="6"/>
        <v xml:space="preserve">    93.0442766229235, 91.9351551484009, 90.9488922914558, 85.9525053561594, 78.9151838107019, 59.4421001335075, 49.5338281473023,</v>
      </c>
      <c r="M16" s="83" t="s">
        <v>23</v>
      </c>
      <c r="N16" s="84"/>
      <c r="O16" s="40">
        <v>3.72078192123604</v>
      </c>
      <c r="P16" s="41">
        <v>4.0467152776216686</v>
      </c>
      <c r="Q16" s="41">
        <v>4.0235763627769954</v>
      </c>
      <c r="R16" s="41">
        <v>4.4767633212331157</v>
      </c>
      <c r="S16" s="41">
        <v>7.2019016527503927</v>
      </c>
      <c r="T16" s="41">
        <v>10.04668436860082</v>
      </c>
      <c r="U16" s="42">
        <v>9.2355901481835172</v>
      </c>
      <c r="V16" s="12" t="str">
        <f t="shared" si="7"/>
        <v xml:space="preserve">    3.72078192123604, 4.04671527762167, 4.023576362777, 4.47676332123312, 7.20190165275039, 10.0466843686008, 9.23559014818352,</v>
      </c>
    </row>
    <row r="17" spans="1:22" ht="15.75" customHeight="1" thickBot="1" x14ac:dyDescent="0.25">
      <c r="A17" s="83" t="s">
        <v>24</v>
      </c>
      <c r="B17" s="84"/>
      <c r="C17" s="43">
        <v>93.174110502686005</v>
      </c>
      <c r="D17" s="44">
        <v>91.391724841910417</v>
      </c>
      <c r="E17" s="44">
        <v>89.591539142495463</v>
      </c>
      <c r="F17" s="44">
        <v>84.690597092823751</v>
      </c>
      <c r="G17" s="44">
        <v>76.401347185817656</v>
      </c>
      <c r="H17" s="44">
        <v>59.963667505774268</v>
      </c>
      <c r="I17" s="45">
        <v>47.725577210875521</v>
      </c>
      <c r="J17" s="41" cm="1">
        <f t="array" ref="J17">-SUMPRODUCT((D1:H1-C1:G1)*(C17:G17+D17:H17)/2)</f>
        <v>77.994698988168864</v>
      </c>
      <c r="K17" s="41" cm="1">
        <f t="array" ref="K17">-SUMPRODUCT((D1:I1-C1:H1)*(C17:H17+D17:I17)/2)</f>
        <v>80.686930106085114</v>
      </c>
      <c r="L17" s="12" t="str">
        <f t="shared" si="6"/>
        <v xml:space="preserve">    93.174110502686, 91.3917248419104, 89.5915391424955, 84.6905970928238, 76.4013471858177, 59.9636675057743, 47.7255772108755,</v>
      </c>
      <c r="M17" s="83" t="s">
        <v>24</v>
      </c>
      <c r="N17" s="84"/>
      <c r="O17" s="43">
        <v>3.8766021792735019</v>
      </c>
      <c r="P17" s="44">
        <v>4.8126411406228078</v>
      </c>
      <c r="Q17" s="44">
        <v>4.6512210016047986</v>
      </c>
      <c r="R17" s="44">
        <v>5.2416066355763284</v>
      </c>
      <c r="S17" s="44">
        <v>8.0769588602235256</v>
      </c>
      <c r="T17" s="44">
        <v>10.657363307561541</v>
      </c>
      <c r="U17" s="45">
        <v>9.200486032966916</v>
      </c>
      <c r="V17" s="12" t="str">
        <f t="shared" si="7"/>
        <v xml:space="preserve">    3.8766021792735, 4.81264114062281, 4.6512210016048, 5.24160663557633, 8.07695886022353, 10.6573633075615, 9.20048603296692,</v>
      </c>
    </row>
    <row r="18" spans="1:22" ht="15" thickBot="1" x14ac:dyDescent="0.25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  <c r="M18" s="31"/>
      <c r="N18" s="31"/>
      <c r="O18" s="31"/>
      <c r="P18" s="31"/>
      <c r="Q18" s="31"/>
      <c r="R18" s="31"/>
      <c r="S18" s="31"/>
      <c r="T18" s="31"/>
      <c r="U18" s="31"/>
    </row>
    <row r="19" spans="1:22" ht="15.75" thickBot="1" x14ac:dyDescent="0.25">
      <c r="A19" s="4" t="s">
        <v>3</v>
      </c>
      <c r="B19" s="5" t="s">
        <v>1</v>
      </c>
      <c r="C19" s="15">
        <v>1</v>
      </c>
      <c r="D19" s="15">
        <v>0.75</v>
      </c>
      <c r="E19" s="15">
        <v>0.5</v>
      </c>
      <c r="F19" s="15">
        <v>0.3</v>
      </c>
      <c r="G19" s="15">
        <v>0.2</v>
      </c>
      <c r="H19" s="15">
        <v>0.1</v>
      </c>
      <c r="I19" s="5">
        <v>0.05</v>
      </c>
      <c r="J19" s="19"/>
      <c r="K19" s="19"/>
      <c r="L19" s="1"/>
      <c r="M19" s="4" t="s">
        <v>4</v>
      </c>
      <c r="N19" s="5" t="s">
        <v>1</v>
      </c>
      <c r="O19" s="16">
        <v>1</v>
      </c>
      <c r="P19" s="16">
        <v>0.75</v>
      </c>
      <c r="Q19" s="16">
        <v>0.5</v>
      </c>
      <c r="R19" s="16">
        <v>0.3</v>
      </c>
      <c r="S19" s="16">
        <v>0.2</v>
      </c>
      <c r="T19" s="16">
        <v>0.1</v>
      </c>
      <c r="U19" s="2">
        <v>0.05</v>
      </c>
      <c r="V19" s="1"/>
    </row>
    <row r="20" spans="1:22" ht="15.75" thickBot="1" x14ac:dyDescent="0.25">
      <c r="A20" s="75" t="s">
        <v>5</v>
      </c>
      <c r="B20" s="76"/>
      <c r="C20" s="47">
        <v>92.567111769713335</v>
      </c>
      <c r="D20" s="47">
        <v>90.835858608343599</v>
      </c>
      <c r="E20" s="47">
        <v>89.217505339533233</v>
      </c>
      <c r="F20" s="47">
        <v>83.237245964288078</v>
      </c>
      <c r="G20" s="47">
        <v>75.380430844191011</v>
      </c>
      <c r="H20" s="47">
        <v>58.994367187597383</v>
      </c>
      <c r="I20" s="48">
        <v>43.622535641382179</v>
      </c>
      <c r="J20" s="50"/>
      <c r="K20" s="50"/>
      <c r="L20" s="1" t="str">
        <f>"    "&amp;_xlfn.TEXTJOIN(", ",TRUE,C20:I20)&amp;","</f>
        <v xml:space="preserve">    92.5671117697133, 90.8358586083436, 89.2175053395332, 83.2372459642881, 75.380430844191, 58.9943671875974, 43.6225356413822,</v>
      </c>
      <c r="M20" s="75" t="s">
        <v>5</v>
      </c>
      <c r="N20" s="76"/>
      <c r="O20" s="46">
        <v>3.88093621561358</v>
      </c>
      <c r="P20" s="47">
        <v>4.8164746829677396</v>
      </c>
      <c r="Q20" s="47">
        <v>5.2250608386616522</v>
      </c>
      <c r="R20" s="47">
        <v>5.6675721086724113</v>
      </c>
      <c r="S20" s="47">
        <v>8.3263283482936075</v>
      </c>
      <c r="T20" s="47">
        <v>10.49020927094638</v>
      </c>
      <c r="U20" s="48">
        <v>11.060437347759546</v>
      </c>
      <c r="V20" s="1" t="str">
        <f>"    "&amp;_xlfn.TEXTJOIN(", ",TRUE,O20:U20)&amp;","</f>
        <v xml:space="preserve">    3.88093621561358, 4.81647468296774, 5.22506083866165, 5.66757210867241, 8.32632834829361, 10.4902092709464, 11.0604373477595,</v>
      </c>
    </row>
    <row r="21" spans="1:22" ht="15.75" thickBot="1" x14ac:dyDescent="0.25">
      <c r="A21" s="75" t="s">
        <v>6</v>
      </c>
      <c r="B21" s="76"/>
      <c r="C21" s="47">
        <v>92.866950218042462</v>
      </c>
      <c r="D21" s="47">
        <v>91.242690764745561</v>
      </c>
      <c r="E21" s="47">
        <v>90.137053227698445</v>
      </c>
      <c r="F21" s="47">
        <v>86.080152926613408</v>
      </c>
      <c r="G21" s="47">
        <v>77.410217255196784</v>
      </c>
      <c r="H21" s="47">
        <v>59.676194764980139</v>
      </c>
      <c r="I21" s="48">
        <v>46.395490419404197</v>
      </c>
      <c r="J21" s="50"/>
      <c r="K21" s="50"/>
      <c r="L21" s="1" t="str">
        <f>"    "&amp;_xlfn.TEXTJOIN(", ",TRUE,C21:I21)&amp;","</f>
        <v xml:space="preserve">    92.8669502180425, 91.2426907647456, 90.1370532276984, 86.0801529266134, 77.4102172551968, 59.6761947649801, 46.3954904194042,</v>
      </c>
      <c r="M21" s="75" t="s">
        <v>6</v>
      </c>
      <c r="N21" s="76"/>
      <c r="O21" s="47">
        <v>3.8319643020864191</v>
      </c>
      <c r="P21" s="47">
        <v>4.3603246705255447</v>
      </c>
      <c r="Q21" s="47">
        <v>4.7987735191879262</v>
      </c>
      <c r="R21" s="47">
        <v>5.1262965367330251</v>
      </c>
      <c r="S21" s="47">
        <v>7.087258799823358</v>
      </c>
      <c r="T21" s="47">
        <v>9.7457736576346736</v>
      </c>
      <c r="U21" s="48">
        <v>10.021578856839133</v>
      </c>
      <c r="V21" s="1" t="str">
        <f t="shared" ref="V21:V30" si="8">"    "&amp;_xlfn.TEXTJOIN(", ",TRUE,O21:U21)&amp;","</f>
        <v xml:space="preserve">    3.83196430208642, 4.36032467052554, 4.79877351918793, 5.12629653673303, 7.08725879982336, 9.74577365763467, 10.0215788568391,</v>
      </c>
    </row>
    <row r="22" spans="1:22" ht="15.75" thickBot="1" x14ac:dyDescent="0.25">
      <c r="A22" s="75" t="s">
        <v>10</v>
      </c>
      <c r="B22" s="76"/>
      <c r="C22" s="34">
        <v>87.268396410214976</v>
      </c>
      <c r="D22" s="35">
        <v>87.256428398686779</v>
      </c>
      <c r="E22" s="35">
        <v>87.822106304170404</v>
      </c>
      <c r="F22" s="35">
        <v>87.68072644235157</v>
      </c>
      <c r="G22" s="35">
        <v>87.144879367185226</v>
      </c>
      <c r="H22" s="35">
        <v>74.976567886515753</v>
      </c>
      <c r="I22" s="36">
        <v>46.41754739488244</v>
      </c>
      <c r="J22" s="50"/>
      <c r="K22" s="50"/>
      <c r="L22" s="1" t="str">
        <f t="shared" ref="L22:L25" si="9">"    "&amp;_xlfn.TEXTJOIN(", ",TRUE,C22:I22)&amp;","</f>
        <v xml:space="preserve">    87.268396410215, 87.2564283986868, 87.8221063041704, 87.6807264423516, 87.1448793671852, 74.9765678865158, 46.4175473948824,</v>
      </c>
      <c r="M22" s="75" t="s">
        <v>10</v>
      </c>
      <c r="N22" s="76"/>
      <c r="O22" s="34">
        <v>2.610595868561878</v>
      </c>
      <c r="P22" s="35">
        <v>2.3209805270224559</v>
      </c>
      <c r="Q22" s="35">
        <v>2.4426244152699921</v>
      </c>
      <c r="R22" s="35">
        <v>2.2821255442986761</v>
      </c>
      <c r="S22" s="35">
        <v>2.523131741400912</v>
      </c>
      <c r="T22" s="35">
        <v>3.7626100419371111</v>
      </c>
      <c r="U22" s="36">
        <v>4.1161081119796732</v>
      </c>
      <c r="V22" s="1" t="str">
        <f t="shared" si="8"/>
        <v xml:space="preserve">    2.61059586856188, 2.32098052702246, 2.44262441526999, 2.28212554429868, 2.52313174140091, 3.76261004193711, 4.11610811197967,</v>
      </c>
    </row>
    <row r="23" spans="1:22" ht="15.75" thickBot="1" x14ac:dyDescent="0.25">
      <c r="A23" s="75" t="s">
        <v>14</v>
      </c>
      <c r="B23" s="79"/>
      <c r="C23" s="79"/>
      <c r="D23" s="79"/>
      <c r="E23" s="79"/>
      <c r="F23" s="79"/>
      <c r="G23" s="79"/>
      <c r="H23" s="79"/>
      <c r="I23" s="76"/>
      <c r="J23" s="50"/>
      <c r="K23" s="50"/>
      <c r="L23" s="1"/>
      <c r="M23" s="75" t="s">
        <v>14</v>
      </c>
      <c r="N23" s="79"/>
      <c r="O23" s="79"/>
      <c r="P23" s="79"/>
      <c r="Q23" s="79"/>
      <c r="R23" s="79"/>
      <c r="S23" s="79"/>
      <c r="T23" s="79"/>
      <c r="U23" s="76"/>
      <c r="V23" s="1"/>
    </row>
    <row r="24" spans="1:22" ht="15.75" thickBot="1" x14ac:dyDescent="0.25">
      <c r="A24" s="14" t="s">
        <v>12</v>
      </c>
      <c r="B24" s="9" t="s">
        <v>15</v>
      </c>
      <c r="C24" s="28">
        <v>92.718331539365238</v>
      </c>
      <c r="D24" s="29">
        <v>92.140084144598461</v>
      </c>
      <c r="E24" s="29">
        <v>91.379904797106931</v>
      </c>
      <c r="F24" s="29">
        <v>88.378075938007726</v>
      </c>
      <c r="G24" s="29">
        <v>84.574966803458963</v>
      </c>
      <c r="H24" s="29">
        <v>64.524084468318208</v>
      </c>
      <c r="I24" s="30">
        <v>53.783251685995403</v>
      </c>
      <c r="J24" s="50"/>
      <c r="K24" s="50"/>
      <c r="L24" s="1" t="str">
        <f t="shared" si="9"/>
        <v xml:space="preserve">    92.7183315393652, 92.1400841445985, 91.3799047971069, 88.3780759380077, 84.574966803459, 64.5240844683182, 53.7832516859954,</v>
      </c>
      <c r="M24" s="14" t="s">
        <v>12</v>
      </c>
      <c r="N24" s="9" t="s">
        <v>15</v>
      </c>
      <c r="O24" s="28">
        <v>3.7093306081953399</v>
      </c>
      <c r="P24" s="29">
        <v>3.557353374868756</v>
      </c>
      <c r="Q24" s="29">
        <v>3.8505126265401719</v>
      </c>
      <c r="R24" s="29">
        <v>4.6860631563763482</v>
      </c>
      <c r="S24" s="29">
        <v>5.2335990268297223</v>
      </c>
      <c r="T24" s="29">
        <v>8.5303914956588702</v>
      </c>
      <c r="U24" s="30">
        <v>9.1099237449071975</v>
      </c>
      <c r="V24" s="1" t="str">
        <f t="shared" si="8"/>
        <v xml:space="preserve">    3.70933060819534, 3.55735337486876, 3.85051262654017, 4.68606315637635, 5.23359902682972, 8.53039149565887, 9.1099237449072,</v>
      </c>
    </row>
    <row r="25" spans="1:22" ht="15.75" thickBot="1" x14ac:dyDescent="0.25">
      <c r="A25" s="14" t="s">
        <v>13</v>
      </c>
      <c r="B25" s="9" t="s">
        <v>16</v>
      </c>
      <c r="C25" s="49">
        <v>92.111918497964766</v>
      </c>
      <c r="D25" s="50">
        <v>92.236437130021557</v>
      </c>
      <c r="E25" s="50">
        <v>91.847628837606763</v>
      </c>
      <c r="F25" s="50">
        <v>91.031961472589515</v>
      </c>
      <c r="G25" s="50">
        <v>87.968996103656281</v>
      </c>
      <c r="H25" s="50">
        <v>70.680435455032196</v>
      </c>
      <c r="I25" s="51">
        <v>51.144510191286152</v>
      </c>
      <c r="J25" s="50"/>
      <c r="K25" s="50"/>
      <c r="L25" s="1" t="str">
        <f t="shared" si="9"/>
        <v xml:space="preserve">    92.1119184979648, 92.2364371300216, 91.8476288376068, 91.0319614725895, 87.9689961036563, 70.6804354550322, 51.1445101912862,</v>
      </c>
      <c r="M25" s="14" t="s">
        <v>13</v>
      </c>
      <c r="N25" s="9" t="s">
        <v>16</v>
      </c>
      <c r="O25" s="49">
        <v>3.5860589390986259</v>
      </c>
      <c r="P25" s="50">
        <v>3.5458492835339008</v>
      </c>
      <c r="Q25" s="50">
        <v>3.3222516092178069</v>
      </c>
      <c r="R25" s="50">
        <v>3.385168684859547</v>
      </c>
      <c r="S25" s="50">
        <v>3.8142946105661402</v>
      </c>
      <c r="T25" s="50">
        <v>5.9054798361883787</v>
      </c>
      <c r="U25" s="51">
        <v>6.303799515839513</v>
      </c>
      <c r="V25" s="1" t="str">
        <f t="shared" si="8"/>
        <v xml:space="preserve">    3.58605893909863, 3.5458492835339, 3.32225160921781, 3.38516868485955, 3.81429461056614, 5.90547983618838, 6.30379951583951,</v>
      </c>
    </row>
    <row r="26" spans="1:22" ht="15.75" thickBot="1" x14ac:dyDescent="0.25">
      <c r="A26" s="75" t="s">
        <v>22</v>
      </c>
      <c r="B26" s="79"/>
      <c r="C26" s="82"/>
      <c r="D26" s="82"/>
      <c r="E26" s="82"/>
      <c r="F26" s="82"/>
      <c r="G26" s="82"/>
      <c r="H26" s="82"/>
      <c r="I26" s="78"/>
      <c r="J26" s="50"/>
      <c r="K26" s="50"/>
      <c r="L26" s="1"/>
      <c r="M26" s="75" t="s">
        <v>22</v>
      </c>
      <c r="N26" s="79"/>
      <c r="O26" s="82"/>
      <c r="P26" s="82"/>
      <c r="Q26" s="82"/>
      <c r="R26" s="82"/>
      <c r="S26" s="82"/>
      <c r="T26" s="82"/>
      <c r="U26" s="78"/>
      <c r="V26" s="1"/>
    </row>
    <row r="27" spans="1:22" ht="14.25" customHeight="1" thickBot="1" x14ac:dyDescent="0.25">
      <c r="A27" s="75" t="s">
        <v>7</v>
      </c>
      <c r="B27" s="76"/>
      <c r="C27" s="46">
        <v>93.403798109785029</v>
      </c>
      <c r="D27" s="47">
        <v>91.51700700493744</v>
      </c>
      <c r="E27" s="47">
        <v>89.749880462689262</v>
      </c>
      <c r="F27" s="47">
        <v>83.99730958119234</v>
      </c>
      <c r="G27" s="47">
        <v>74.394962965986878</v>
      </c>
      <c r="H27" s="47">
        <v>58.095582470498513</v>
      </c>
      <c r="I27" s="48">
        <v>44.434812706207254</v>
      </c>
      <c r="J27" s="50"/>
      <c r="K27" s="50"/>
      <c r="L27" s="1" t="str">
        <f t="shared" ref="L27:L30" si="10">"    "&amp;_xlfn.TEXTJOIN(", ",TRUE,C27:I27)&amp;","</f>
        <v xml:space="preserve">    93.403798109785, 91.5170070049374, 89.7498804626893, 83.9973095811923, 74.3949629659869, 58.0955824704985, 44.4348127062073,</v>
      </c>
      <c r="M27" s="75" t="s">
        <v>7</v>
      </c>
      <c r="N27" s="76"/>
      <c r="O27" s="46">
        <v>3.9553866501853321</v>
      </c>
      <c r="P27" s="47">
        <v>4.517630835861226</v>
      </c>
      <c r="Q27" s="47">
        <v>5.2125425794506972</v>
      </c>
      <c r="R27" s="47">
        <v>5.6477461387684551</v>
      </c>
      <c r="S27" s="47">
        <v>8.6090564713117175</v>
      </c>
      <c r="T27" s="47">
        <v>11.357157347254571</v>
      </c>
      <c r="U27" s="48">
        <v>9.3757621724255777</v>
      </c>
      <c r="V27" s="1" t="str">
        <f t="shared" si="8"/>
        <v xml:space="preserve">    3.95538665018533, 4.51763083586123, 5.2125425794507, 5.64774613876846, 8.60905647131172, 11.3571573472546, 9.37576217242558,</v>
      </c>
    </row>
    <row r="28" spans="1:22" ht="15.75" thickBot="1" x14ac:dyDescent="0.25">
      <c r="A28" s="75" t="s">
        <v>8</v>
      </c>
      <c r="B28" s="76"/>
      <c r="C28" s="49">
        <v>92.778947400409621</v>
      </c>
      <c r="D28" s="50">
        <v>91.450368996373655</v>
      </c>
      <c r="E28" s="50">
        <v>89.879480954542075</v>
      </c>
      <c r="F28" s="50">
        <v>84.748756470336986</v>
      </c>
      <c r="G28" s="50">
        <v>75.627608782580538</v>
      </c>
      <c r="H28" s="50">
        <v>58.300265665116903</v>
      </c>
      <c r="I28" s="51">
        <v>48.584106437626268</v>
      </c>
      <c r="J28" s="50"/>
      <c r="K28" s="50"/>
      <c r="L28" s="1" t="str">
        <f t="shared" si="10"/>
        <v xml:space="preserve">    92.7789474004096, 91.4503689963737, 89.8794809545421, 84.748756470337, 75.6276087825805, 58.3002656651169, 48.5841064376263,</v>
      </c>
      <c r="M28" s="75" t="s">
        <v>8</v>
      </c>
      <c r="N28" s="76"/>
      <c r="O28" s="49">
        <v>4.3743918396131134</v>
      </c>
      <c r="P28" s="50">
        <v>5.1779143655465321</v>
      </c>
      <c r="Q28" s="50">
        <v>4.8362705721377752</v>
      </c>
      <c r="R28" s="50">
        <v>5.6797782301447892</v>
      </c>
      <c r="S28" s="50">
        <v>9.0190902977959446</v>
      </c>
      <c r="T28" s="50">
        <v>11.000258135261941</v>
      </c>
      <c r="U28" s="51">
        <v>9.2918474149187738</v>
      </c>
      <c r="V28" s="1" t="str">
        <f t="shared" si="8"/>
        <v xml:space="preserve">    4.37439183961311, 5.17791436554653, 4.83627057213778, 5.67977823014479, 9.01909029779594, 11.0002581352619, 9.29184741491877,</v>
      </c>
    </row>
    <row r="29" spans="1:22" ht="15.75" thickBot="1" x14ac:dyDescent="0.25">
      <c r="A29" s="75" t="s">
        <v>23</v>
      </c>
      <c r="B29" s="76"/>
      <c r="C29" s="49">
        <v>92.492055194421354</v>
      </c>
      <c r="D29" s="50">
        <v>91.055738083245984</v>
      </c>
      <c r="E29" s="50">
        <v>89.241264887762341</v>
      </c>
      <c r="F29" s="50">
        <v>82.713601809643421</v>
      </c>
      <c r="G29" s="50">
        <v>73.133677048774885</v>
      </c>
      <c r="H29" s="50">
        <v>56.229205901331248</v>
      </c>
      <c r="I29" s="51">
        <v>43.695396708102962</v>
      </c>
      <c r="J29" s="50"/>
      <c r="K29" s="50"/>
      <c r="L29" s="1" t="str">
        <f t="shared" si="10"/>
        <v xml:space="preserve">    92.4920551944214, 91.055738083246, 89.2412648877623, 82.7136018096434, 73.1336770487749, 56.2292059013312, 43.695396708103,</v>
      </c>
      <c r="M29" s="75" t="s">
        <v>23</v>
      </c>
      <c r="N29" s="76"/>
      <c r="O29" s="49">
        <v>4.0986250609792014</v>
      </c>
      <c r="P29" s="50">
        <v>4.5926443490712341</v>
      </c>
      <c r="Q29" s="50">
        <v>4.8521598807380544</v>
      </c>
      <c r="R29" s="50">
        <v>5.8188919126166327</v>
      </c>
      <c r="S29" s="50">
        <v>9.5088987825376563</v>
      </c>
      <c r="T29" s="50">
        <v>11.32839542788332</v>
      </c>
      <c r="U29" s="51">
        <v>10.62887090695313</v>
      </c>
      <c r="V29" s="1" t="str">
        <f t="shared" si="8"/>
        <v xml:space="preserve">    4.0986250609792, 4.59264434907123, 4.85215988073805, 5.81889191261663, 9.50889878253766, 11.3283954278833, 10.6288709069531,</v>
      </c>
    </row>
    <row r="30" spans="1:22" ht="15.75" thickBot="1" x14ac:dyDescent="0.25">
      <c r="A30" s="75" t="s">
        <v>24</v>
      </c>
      <c r="B30" s="76"/>
      <c r="C30" s="52">
        <v>92.657174075741665</v>
      </c>
      <c r="D30" s="53">
        <v>91.208050814372243</v>
      </c>
      <c r="E30" s="53">
        <v>89.170455678091372</v>
      </c>
      <c r="F30" s="53">
        <v>84.474616062770011</v>
      </c>
      <c r="G30" s="53">
        <v>75.066668593640316</v>
      </c>
      <c r="H30" s="53">
        <v>58.520340993368222</v>
      </c>
      <c r="I30" s="54">
        <v>44.786141592049418</v>
      </c>
      <c r="J30" s="58"/>
      <c r="K30" s="58"/>
      <c r="L30" s="1" t="str">
        <f t="shared" si="10"/>
        <v xml:space="preserve">    92.6571740757417, 91.2080508143722, 89.1704556780914, 84.47461606277, 75.0666685936403, 58.5203409933682, 44.7861415920494,</v>
      </c>
      <c r="M30" s="75" t="s">
        <v>24</v>
      </c>
      <c r="N30" s="76"/>
      <c r="O30" s="52">
        <v>4.2589004392769629</v>
      </c>
      <c r="P30" s="53">
        <v>4.8517186601265534</v>
      </c>
      <c r="Q30" s="53">
        <v>5.6717673083496472</v>
      </c>
      <c r="R30" s="53">
        <v>5.3079507961921779</v>
      </c>
      <c r="S30" s="53">
        <v>7.7884705615072454</v>
      </c>
      <c r="T30" s="53">
        <v>10.595563377926201</v>
      </c>
      <c r="U30" s="54">
        <v>10.945843294214329</v>
      </c>
      <c r="V30" s="1" t="str">
        <f t="shared" si="8"/>
        <v xml:space="preserve">    4.25890043927696, 4.85171866012655, 5.67176730834965, 5.30795079619218, 7.78847056150725, 10.5955633779262, 10.9458432942143,</v>
      </c>
    </row>
    <row r="31" spans="1:22" ht="15.75" customHeight="1" thickBot="1" x14ac:dyDescent="0.25">
      <c r="A31" s="75" t="s">
        <v>25</v>
      </c>
      <c r="B31" s="79"/>
      <c r="C31" s="80"/>
      <c r="D31" s="80"/>
      <c r="E31" s="80"/>
      <c r="F31" s="80"/>
      <c r="G31" s="80"/>
      <c r="H31" s="80"/>
      <c r="I31" s="81"/>
      <c r="J31" s="50"/>
      <c r="K31" s="50"/>
      <c r="L31" s="1"/>
      <c r="M31" s="75" t="s">
        <v>25</v>
      </c>
      <c r="N31" s="79"/>
      <c r="O31" s="80"/>
      <c r="P31" s="80"/>
      <c r="Q31" s="80"/>
      <c r="R31" s="80"/>
      <c r="S31" s="80"/>
      <c r="T31" s="80"/>
      <c r="U31" s="81"/>
      <c r="V31" s="1"/>
    </row>
    <row r="32" spans="1:22" ht="15.75" customHeight="1" thickBot="1" x14ac:dyDescent="0.25">
      <c r="A32" s="75" t="s">
        <v>7</v>
      </c>
      <c r="B32" s="76"/>
      <c r="C32" s="46">
        <v>92.603769819293618</v>
      </c>
      <c r="D32" s="47">
        <v>91.431947068352812</v>
      </c>
      <c r="E32" s="47">
        <v>90.390795042999585</v>
      </c>
      <c r="F32" s="47">
        <v>86.789562828222273</v>
      </c>
      <c r="G32" s="47">
        <v>80.615554033052248</v>
      </c>
      <c r="H32" s="47">
        <v>56.609578553133908</v>
      </c>
      <c r="I32" s="48">
        <v>41.27928062292434</v>
      </c>
      <c r="J32" s="50"/>
      <c r="K32" s="50"/>
      <c r="L32" s="1" t="str">
        <f t="shared" ref="L32:L35" si="11">"    "&amp;_xlfn.TEXTJOIN(", ",TRUE,C32:I32)&amp;","</f>
        <v xml:space="preserve">    92.6037698192936, 91.4319470683528, 90.3907950429996, 86.7895628282223, 80.6155540330522, 56.6095785531339, 41.2792806229243,</v>
      </c>
      <c r="M32" s="75" t="s">
        <v>7</v>
      </c>
      <c r="N32" s="76"/>
      <c r="O32" s="46">
        <v>3.708759274801273</v>
      </c>
      <c r="P32" s="47">
        <v>3.9640390541215931</v>
      </c>
      <c r="Q32" s="47">
        <v>3.7067998106756881</v>
      </c>
      <c r="R32" s="47">
        <v>3.667452632531309</v>
      </c>
      <c r="S32" s="47">
        <v>5.7548227051500218</v>
      </c>
      <c r="T32" s="47">
        <v>8.5366536877555248</v>
      </c>
      <c r="U32" s="48">
        <v>6.3187793027043018</v>
      </c>
      <c r="V32" s="1" t="str">
        <f t="shared" ref="V32:V35" si="12">"    "&amp;_xlfn.TEXTJOIN(", ",TRUE,O32:U32)&amp;","</f>
        <v xml:space="preserve">    3.70875927480127, 3.96403905412159, 3.70679981067569, 3.66745263253131, 5.75482270515002, 8.53665368775552, 6.3187793027043,</v>
      </c>
    </row>
    <row r="33" spans="1:22" ht="15.75" customHeight="1" thickBot="1" x14ac:dyDescent="0.25">
      <c r="A33" s="77" t="s">
        <v>8</v>
      </c>
      <c r="B33" s="78"/>
      <c r="C33" s="49">
        <v>91.377634404932721</v>
      </c>
      <c r="D33" s="50">
        <v>90.405373333245066</v>
      </c>
      <c r="E33" s="50">
        <v>89.371480308332721</v>
      </c>
      <c r="F33" s="50">
        <v>87.60989862639515</v>
      </c>
      <c r="G33" s="50">
        <v>85.537230701510694</v>
      </c>
      <c r="H33" s="50">
        <v>70.930708745421484</v>
      </c>
      <c r="I33" s="51">
        <v>44.097326232806537</v>
      </c>
      <c r="J33" s="50"/>
      <c r="K33" s="50"/>
      <c r="L33" s="1" t="str">
        <f t="shared" si="11"/>
        <v xml:space="preserve">    91.3776344049327, 90.4053733332451, 89.3714803083327, 87.6098986263952, 85.5372307015107, 70.9307087454215, 44.0973262328065,</v>
      </c>
      <c r="M33" s="75" t="s">
        <v>8</v>
      </c>
      <c r="N33" s="76"/>
      <c r="O33" s="49">
        <v>3.5684194304484111</v>
      </c>
      <c r="P33" s="50">
        <v>3.0347581440341318</v>
      </c>
      <c r="Q33" s="50">
        <v>2.754130276526872</v>
      </c>
      <c r="R33" s="50">
        <v>2.7768782002466339</v>
      </c>
      <c r="S33" s="50">
        <v>3.3184641894178428</v>
      </c>
      <c r="T33" s="50">
        <v>4.9795199020249923</v>
      </c>
      <c r="U33" s="51">
        <v>2.9223071611371929</v>
      </c>
      <c r="V33" s="1" t="str">
        <f t="shared" si="12"/>
        <v xml:space="preserve">    3.56841943044841, 3.03475814403413, 2.75413027652687, 2.77687820024663, 3.31846418941784, 4.97951990202499, 2.92230716113719,</v>
      </c>
    </row>
    <row r="34" spans="1:22" ht="15.75" customHeight="1" thickBot="1" x14ac:dyDescent="0.25">
      <c r="A34" s="75" t="s">
        <v>23</v>
      </c>
      <c r="B34" s="76"/>
      <c r="C34" s="49">
        <v>92.603715202692385</v>
      </c>
      <c r="D34" s="50">
        <v>91.484997502720319</v>
      </c>
      <c r="E34" s="50">
        <v>90.630171299324857</v>
      </c>
      <c r="F34" s="50">
        <v>85.342034697064548</v>
      </c>
      <c r="G34" s="50">
        <v>78.208607944308184</v>
      </c>
      <c r="H34" s="50">
        <v>58.188767254712552</v>
      </c>
      <c r="I34" s="51">
        <v>45.468919562576168</v>
      </c>
      <c r="J34" s="50"/>
      <c r="K34" s="50"/>
      <c r="L34" s="1" t="str">
        <f t="shared" si="11"/>
        <v xml:space="preserve">    92.6037152026924, 91.4849975027203, 90.6301712993249, 85.3420346970645, 78.2086079443082, 58.1887672547126, 45.4689195625762,</v>
      </c>
      <c r="M34" s="75" t="s">
        <v>23</v>
      </c>
      <c r="N34" s="76"/>
      <c r="O34" s="49">
        <v>4.0727132923350373</v>
      </c>
      <c r="P34" s="50">
        <v>4.4231285957629458</v>
      </c>
      <c r="Q34" s="50">
        <v>4.3011534303531356</v>
      </c>
      <c r="R34" s="50">
        <v>4.8453894583465429</v>
      </c>
      <c r="S34" s="50">
        <v>7.5589700135942426</v>
      </c>
      <c r="T34" s="50">
        <v>10.3740336621021</v>
      </c>
      <c r="U34" s="51">
        <v>10.707618741543239</v>
      </c>
      <c r="V34" s="1" t="str">
        <f t="shared" si="12"/>
        <v xml:space="preserve">    4.07271329233504, 4.42312859576295, 4.30115343035314, 4.84538945834654, 7.55897001359424, 10.3740336621021, 10.7076187415432,</v>
      </c>
    </row>
    <row r="35" spans="1:22" ht="15.75" customHeight="1" thickBot="1" x14ac:dyDescent="0.25">
      <c r="A35" s="75" t="s">
        <v>24</v>
      </c>
      <c r="B35" s="76"/>
      <c r="C35" s="52">
        <v>92.692685851985146</v>
      </c>
      <c r="D35" s="53">
        <v>91.028008929063319</v>
      </c>
      <c r="E35" s="53">
        <v>89.101176850288709</v>
      </c>
      <c r="F35" s="53">
        <v>84.121695311135312</v>
      </c>
      <c r="G35" s="53">
        <v>75.514536359946376</v>
      </c>
      <c r="H35" s="53">
        <v>58.551851548300363</v>
      </c>
      <c r="I35" s="54">
        <v>43.528644478603361</v>
      </c>
      <c r="J35" s="50"/>
      <c r="K35" s="50"/>
      <c r="L35" s="1" t="str">
        <f t="shared" si="11"/>
        <v xml:space="preserve">    92.6926858519851, 91.0280089290633, 89.1011768502887, 84.1216953111353, 75.5145363599464, 58.5518515483004, 43.5286444786034,</v>
      </c>
      <c r="M35" s="75" t="s">
        <v>24</v>
      </c>
      <c r="N35" s="76"/>
      <c r="O35" s="52">
        <v>4.3508377678439567</v>
      </c>
      <c r="P35" s="53">
        <v>5.1455197984597092</v>
      </c>
      <c r="Q35" s="53">
        <v>5.0319449257944937</v>
      </c>
      <c r="R35" s="53">
        <v>5.4881092234662896</v>
      </c>
      <c r="S35" s="53">
        <v>8.3963724907401343</v>
      </c>
      <c r="T35" s="53">
        <v>11.26477476806841</v>
      </c>
      <c r="U35" s="54">
        <v>10.478269846537319</v>
      </c>
      <c r="V35" s="1" t="str">
        <f t="shared" si="12"/>
        <v xml:space="preserve">    4.35083776784396, 5.14551979845971, 5.03194492579449, 5.48810922346629, 8.39637249074013, 11.2647747680684, 10.4782698465373,</v>
      </c>
    </row>
    <row r="36" spans="1:22" ht="15" x14ac:dyDescent="0.2">
      <c r="L36" s="11"/>
      <c r="M36" s="11"/>
      <c r="N36" s="11"/>
      <c r="O36" s="11"/>
      <c r="P36" s="11"/>
      <c r="Q36" s="11"/>
      <c r="R36" s="11"/>
      <c r="S36" s="11"/>
      <c r="T36" s="11"/>
      <c r="U36" s="11"/>
    </row>
    <row r="37" spans="1:22" ht="15" x14ac:dyDescent="0.2">
      <c r="L37" s="11"/>
      <c r="M37" s="11"/>
      <c r="N37" s="11"/>
      <c r="O37" s="11"/>
      <c r="P37" s="11"/>
      <c r="Q37" s="11"/>
      <c r="R37" s="11"/>
      <c r="S37" s="11"/>
      <c r="T37" s="11"/>
      <c r="U37" s="11"/>
    </row>
    <row r="38" spans="1:22" ht="15" x14ac:dyDescent="0.2"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</row>
    <row r="39" spans="1:22" ht="15" x14ac:dyDescent="0.2"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</row>
    <row r="40" spans="1:22" ht="15" x14ac:dyDescent="0.2"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</row>
    <row r="41" spans="1:22" ht="15" x14ac:dyDescent="0.2"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</row>
  </sheetData>
  <mergeCells count="56">
    <mergeCell ref="A2:B2"/>
    <mergeCell ref="M2:N2"/>
    <mergeCell ref="A3:B3"/>
    <mergeCell ref="M3:N3"/>
    <mergeCell ref="A4:B4"/>
    <mergeCell ref="M4:N4"/>
    <mergeCell ref="A5:I5"/>
    <mergeCell ref="M5:U5"/>
    <mergeCell ref="A8:I8"/>
    <mergeCell ref="M8:U8"/>
    <mergeCell ref="A9:B9"/>
    <mergeCell ref="M9:N9"/>
    <mergeCell ref="A10:B10"/>
    <mergeCell ref="M10:N10"/>
    <mergeCell ref="A11:B11"/>
    <mergeCell ref="M11:N11"/>
    <mergeCell ref="A12:B12"/>
    <mergeCell ref="M12:N12"/>
    <mergeCell ref="A13:I13"/>
    <mergeCell ref="M13:U13"/>
    <mergeCell ref="A14:B14"/>
    <mergeCell ref="M14:N14"/>
    <mergeCell ref="A15:B15"/>
    <mergeCell ref="M15:N15"/>
    <mergeCell ref="A16:B16"/>
    <mergeCell ref="M16:N16"/>
    <mergeCell ref="A17:B17"/>
    <mergeCell ref="M17:N17"/>
    <mergeCell ref="A20:B20"/>
    <mergeCell ref="M20:N20"/>
    <mergeCell ref="A21:B21"/>
    <mergeCell ref="M21:N21"/>
    <mergeCell ref="A22:B22"/>
    <mergeCell ref="M22:N22"/>
    <mergeCell ref="A23:I23"/>
    <mergeCell ref="M23:U23"/>
    <mergeCell ref="A26:I26"/>
    <mergeCell ref="M26:U26"/>
    <mergeCell ref="A27:B27"/>
    <mergeCell ref="M27:N27"/>
    <mergeCell ref="A28:B28"/>
    <mergeCell ref="M28:N28"/>
    <mergeCell ref="A29:B29"/>
    <mergeCell ref="M29:N29"/>
    <mergeCell ref="A30:B30"/>
    <mergeCell ref="M30:N30"/>
    <mergeCell ref="A31:I31"/>
    <mergeCell ref="M31:U31"/>
    <mergeCell ref="A35:B35"/>
    <mergeCell ref="M35:N35"/>
    <mergeCell ref="A32:B32"/>
    <mergeCell ref="M32:N32"/>
    <mergeCell ref="A33:B33"/>
    <mergeCell ref="M33:N33"/>
    <mergeCell ref="A34:B34"/>
    <mergeCell ref="M34:N34"/>
  </mergeCells>
  <phoneticPr fontId="1" type="noConversion"/>
  <conditionalFormatting sqref="C6:I7 C2:I4"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1 C14:I16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1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2 C14:I17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K4 C6:K7 J5:K5 J8:K17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17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1:J35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K17">
    <cfRule type="colorScale" priority="24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5 C3:K4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1:K35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1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1:K35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29D5C-8639-4163-9432-7C70C26E1499}">
  <dimension ref="A1:V51"/>
  <sheetViews>
    <sheetView zoomScaleNormal="100" workbookViewId="0"/>
  </sheetViews>
  <sheetFormatPr defaultRowHeight="14.25" x14ac:dyDescent="0.2"/>
  <cols>
    <col min="1" max="1" width="25" style="10" customWidth="1"/>
    <col min="2" max="2" width="15" style="10" customWidth="1"/>
    <col min="3" max="12" width="9" style="10"/>
    <col min="13" max="13" width="25" style="10" customWidth="1"/>
    <col min="14" max="14" width="15" style="10" customWidth="1"/>
    <col min="15" max="16384" width="9" style="10"/>
  </cols>
  <sheetData>
    <row r="1" spans="1:22" ht="15.75" thickBot="1" x14ac:dyDescent="0.25">
      <c r="A1" s="3" t="s">
        <v>0</v>
      </c>
      <c r="B1" s="13" t="s">
        <v>1</v>
      </c>
      <c r="C1" s="17">
        <v>1</v>
      </c>
      <c r="D1" s="17">
        <v>0.75</v>
      </c>
      <c r="E1" s="17">
        <v>0.5</v>
      </c>
      <c r="F1" s="17">
        <v>0.3</v>
      </c>
      <c r="G1" s="17">
        <v>0.2</v>
      </c>
      <c r="H1" s="17">
        <v>0.1</v>
      </c>
      <c r="I1" s="6">
        <v>0.05</v>
      </c>
      <c r="J1" s="18" t="s">
        <v>9</v>
      </c>
      <c r="K1" s="18" t="s">
        <v>9</v>
      </c>
      <c r="L1" s="12"/>
      <c r="M1" s="3" t="s">
        <v>2</v>
      </c>
      <c r="N1" s="13" t="s">
        <v>1</v>
      </c>
      <c r="O1" s="7">
        <v>1</v>
      </c>
      <c r="P1" s="17">
        <v>0.75</v>
      </c>
      <c r="Q1" s="17">
        <v>0.5</v>
      </c>
      <c r="R1" s="17">
        <v>0.3</v>
      </c>
      <c r="S1" s="17">
        <v>0.2</v>
      </c>
      <c r="T1" s="17">
        <v>0.1</v>
      </c>
      <c r="U1" s="6">
        <v>0.05</v>
      </c>
      <c r="V1" s="12"/>
    </row>
    <row r="2" spans="1:22" ht="15.75" thickBot="1" x14ac:dyDescent="0.25">
      <c r="A2" s="83" t="s">
        <v>5</v>
      </c>
      <c r="B2" s="84"/>
      <c r="C2" s="20">
        <v>93.101364775358491</v>
      </c>
      <c r="D2" s="21">
        <v>91.326663725464783</v>
      </c>
      <c r="E2" s="21">
        <v>89.722561037148537</v>
      </c>
      <c r="F2" s="21">
        <v>83.857204647099024</v>
      </c>
      <c r="G2" s="21">
        <v>76.242949045118635</v>
      </c>
      <c r="H2" s="21">
        <v>60.40277741733636</v>
      </c>
      <c r="I2" s="22">
        <v>47.740900296138662</v>
      </c>
      <c r="J2" s="23" cm="1">
        <f t="array" ref="J2">-SUMPRODUCT((D1:H1-C1:G1)*(C2:G2+D2:H2)/2)</f>
        <v>77.879927234087958</v>
      </c>
      <c r="K2" s="23" cm="1">
        <f t="array" ref="K2">-SUMPRODUCT((D1:I1-C1:H1)*(C2:H2+D2:I2)/2)</f>
        <v>80.583519176924838</v>
      </c>
      <c r="L2" s="12" t="str">
        <f>"    "&amp;_xlfn.TEXTJOIN(", ",TRUE,C2:I2)&amp;","</f>
        <v xml:space="preserve">    93.1013647753585, 91.3266637254648, 89.7225610371485, 83.857204647099, 76.2429490451186, 60.4027774173364, 47.7409002961387,</v>
      </c>
      <c r="M2" s="83" t="s">
        <v>5</v>
      </c>
      <c r="N2" s="84"/>
      <c r="O2" s="37">
        <v>3.4649270444699574</v>
      </c>
      <c r="P2" s="38">
        <v>4.4611797621615326</v>
      </c>
      <c r="Q2" s="38">
        <v>4.7712065248821434</v>
      </c>
      <c r="R2" s="38">
        <v>5.3965689103010375</v>
      </c>
      <c r="S2" s="38">
        <v>7.9323757260741923</v>
      </c>
      <c r="T2" s="38">
        <v>9.9900413492801565</v>
      </c>
      <c r="U2" s="39">
        <v>9.7565309936118432</v>
      </c>
      <c r="V2" s="12" t="str">
        <f>"    "&amp;_xlfn.TEXTJOIN(", ",TRUE,O2:U2)&amp;","</f>
        <v xml:space="preserve">    3.46492704446996, 4.46117976216153, 4.77120652488214, 5.39656891030104, 7.93237572607419, 9.99004134928016, 9.75653099361184,</v>
      </c>
    </row>
    <row r="3" spans="1:22" ht="15.75" thickBot="1" x14ac:dyDescent="0.25">
      <c r="A3" s="83" t="s">
        <v>6</v>
      </c>
      <c r="B3" s="84"/>
      <c r="C3" s="37">
        <v>93.273358766079312</v>
      </c>
      <c r="D3" s="38">
        <v>91.615587793435367</v>
      </c>
      <c r="E3" s="38">
        <v>90.62053304959386</v>
      </c>
      <c r="F3" s="38">
        <v>86.59751381932368</v>
      </c>
      <c r="G3" s="38">
        <v>78.22435026831262</v>
      </c>
      <c r="H3" s="38">
        <v>60.854992978601317</v>
      </c>
      <c r="I3" s="39">
        <v>48.743933771053378</v>
      </c>
      <c r="J3" s="41" cm="1">
        <f t="array" ref="J3">-SUMPRODUCT((D1:H1-C1:G1)*(C3:G3+D3:H3)/2)</f>
        <v>78.807498478937248</v>
      </c>
      <c r="K3" s="41" cm="1">
        <f t="array" ref="K3">-SUMPRODUCT((D1:I1-C1:H1)*(C3:H3+D3:I3)/2)</f>
        <v>81.54747164767862</v>
      </c>
      <c r="L3" s="12" t="str">
        <f t="shared" ref="L3:L16" si="0">"    "&amp;_xlfn.TEXTJOIN(", ",TRUE,C3:I3)&amp;","</f>
        <v xml:space="preserve">    93.2733587660793, 91.6155877934354, 90.6205330495939, 86.5975138193237, 78.2243502683126, 60.8549929786013, 48.7439337710534,</v>
      </c>
      <c r="M3" s="83" t="s">
        <v>6</v>
      </c>
      <c r="N3" s="84"/>
      <c r="O3" s="37">
        <v>3.4672469457762647</v>
      </c>
      <c r="P3" s="38">
        <v>4.1066373858138912</v>
      </c>
      <c r="Q3" s="38">
        <v>4.4433442831389707</v>
      </c>
      <c r="R3" s="38">
        <v>4.8572661690244194</v>
      </c>
      <c r="S3" s="38">
        <v>6.7334065011993722</v>
      </c>
      <c r="T3" s="38">
        <v>9.3055912140758643</v>
      </c>
      <c r="U3" s="39">
        <v>9.1853207799272329</v>
      </c>
      <c r="V3" s="12" t="str">
        <f t="shared" ref="V3:V16" si="1">"    "&amp;_xlfn.TEXTJOIN(", ",TRUE,O3:U3)&amp;","</f>
        <v xml:space="preserve">    3.46724694577626, 4.10663738581389, 4.44334428313897, 4.85726616902442, 6.73340650119937, 9.30559121407586, 9.18532077992723,</v>
      </c>
    </row>
    <row r="4" spans="1:22" ht="15.75" thickBot="1" x14ac:dyDescent="0.25">
      <c r="A4" s="83" t="s">
        <v>10</v>
      </c>
      <c r="B4" s="84"/>
      <c r="C4" s="24">
        <v>87.593900000000005</v>
      </c>
      <c r="D4" s="32">
        <v>87.663716814159287</v>
      </c>
      <c r="E4" s="32">
        <v>88.112094395280209</v>
      </c>
      <c r="F4" s="32">
        <v>87.970025692263789</v>
      </c>
      <c r="G4" s="32">
        <v>87.461708146264243</v>
      </c>
      <c r="H4" s="32">
        <v>75.251363189416281</v>
      </c>
      <c r="I4" s="33">
        <v>47.720683858280204</v>
      </c>
      <c r="J4" s="41" cm="1">
        <f t="array" ref="J4">-SUMPRODUCT((D1:H1-C1:G1)*(C4:G4+D4:H4)/2)</f>
        <v>78.394630770414679</v>
      </c>
      <c r="K4" s="41" cm="1">
        <f t="array" ref="K4">-SUMPRODUCT((D1:I1-C1:H1)*(C4:H4+D4:I4)/2)</f>
        <v>81.468931946607086</v>
      </c>
      <c r="L4" s="12" t="str">
        <f t="shared" si="0"/>
        <v xml:space="preserve">    87.5939, 87.6637168141593, 88.1120943952802, 87.9700256922638, 87.4617081462642, 75.2513631894163, 47.7206838582802,</v>
      </c>
      <c r="M4" s="83" t="s">
        <v>10</v>
      </c>
      <c r="N4" s="84"/>
      <c r="O4" s="55">
        <v>2.4529187882918819</v>
      </c>
      <c r="P4" s="32">
        <v>2.16276566139488</v>
      </c>
      <c r="Q4" s="32">
        <v>2.2973398804747198</v>
      </c>
      <c r="R4" s="32">
        <v>2.134165319654592</v>
      </c>
      <c r="S4" s="32">
        <v>2.3834878752826651</v>
      </c>
      <c r="T4" s="32">
        <v>3.787986046410059</v>
      </c>
      <c r="U4" s="33">
        <v>3.7419646549723868</v>
      </c>
      <c r="V4" s="12" t="str">
        <f t="shared" si="1"/>
        <v xml:space="preserve">    2.45291878829188, 2.16276566139488, 2.29733988047472, 2.13416531965459, 2.38348787528267, 3.78798604641006, 3.74196465497239,</v>
      </c>
    </row>
    <row r="5" spans="1:22" ht="15.75" thickBot="1" x14ac:dyDescent="0.25">
      <c r="A5" s="83" t="s">
        <v>14</v>
      </c>
      <c r="B5" s="85"/>
      <c r="C5" s="85"/>
      <c r="D5" s="85"/>
      <c r="E5" s="85"/>
      <c r="F5" s="85"/>
      <c r="G5" s="85"/>
      <c r="H5" s="85"/>
      <c r="I5" s="84"/>
      <c r="J5" s="41"/>
      <c r="K5" s="41"/>
      <c r="L5" s="12"/>
      <c r="M5" s="83" t="s">
        <v>14</v>
      </c>
      <c r="N5" s="85"/>
      <c r="O5" s="85"/>
      <c r="P5" s="85"/>
      <c r="Q5" s="85"/>
      <c r="R5" s="85"/>
      <c r="S5" s="85"/>
      <c r="T5" s="85"/>
      <c r="U5" s="84"/>
      <c r="V5" s="12"/>
    </row>
    <row r="6" spans="1:22" ht="15.75" customHeight="1" thickBot="1" x14ac:dyDescent="0.25">
      <c r="A6" s="7" t="s">
        <v>12</v>
      </c>
      <c r="B6" s="8" t="s">
        <v>15</v>
      </c>
      <c r="C6" s="25">
        <v>93.176991150442475</v>
      </c>
      <c r="D6" s="26">
        <v>92.551622418879049</v>
      </c>
      <c r="E6" s="26">
        <v>91.770912089781632</v>
      </c>
      <c r="F6" s="26">
        <v>88.774349259076644</v>
      </c>
      <c r="G6" s="26">
        <v>85.119574275440684</v>
      </c>
      <c r="H6" s="26">
        <v>65.55219912513661</v>
      </c>
      <c r="I6" s="27">
        <v>55.581651513709751</v>
      </c>
      <c r="J6" s="41" cm="1">
        <f t="array" ref="J6">-SUMPRODUCT((D1:H1-C1:G1)*(C6:G6+D6:H6)/2)</f>
        <v>80.539204491388332</v>
      </c>
      <c r="K6" s="41" cm="1">
        <f t="array" ref="K6">-SUMPRODUCT((D1:I1-C1:H1)*(C6:H6+D6:I6)/2)</f>
        <v>83.567550757359498</v>
      </c>
      <c r="L6" s="12" t="str">
        <f t="shared" si="0"/>
        <v xml:space="preserve">    93.1769911504425, 92.551622418879, 91.7709120897816, 88.7743492590766, 85.1195742754407, 65.5521991251366, 55.5816515137098,</v>
      </c>
      <c r="M6" s="7" t="s">
        <v>12</v>
      </c>
      <c r="N6" s="8" t="s">
        <v>15</v>
      </c>
      <c r="O6" s="25">
        <v>3.3980555340015428</v>
      </c>
      <c r="P6" s="26">
        <v>3.2526209506201238</v>
      </c>
      <c r="Q6" s="26">
        <v>3.463276500799247</v>
      </c>
      <c r="R6" s="26">
        <v>4.4197147654757591</v>
      </c>
      <c r="S6" s="26">
        <v>4.9008511372208474</v>
      </c>
      <c r="T6" s="26">
        <v>8.1544027156793923</v>
      </c>
      <c r="U6" s="27">
        <v>8.3944532618135348</v>
      </c>
      <c r="V6" s="12" t="str">
        <f t="shared" si="1"/>
        <v xml:space="preserve">    3.39805553400154, 3.25262095062012, 3.46327650079925, 4.41971476547576, 4.90085113722085, 8.15440271567939, 8.39445326181353,</v>
      </c>
    </row>
    <row r="7" spans="1:22" ht="15.75" customHeight="1" thickBot="1" x14ac:dyDescent="0.25">
      <c r="A7" s="7" t="s">
        <v>13</v>
      </c>
      <c r="B7" s="8" t="s">
        <v>16</v>
      </c>
      <c r="C7" s="40">
        <v>92.538862792930757</v>
      </c>
      <c r="D7" s="41">
        <v>92.596859257721377</v>
      </c>
      <c r="E7" s="41">
        <v>92.131765845725312</v>
      </c>
      <c r="F7" s="41">
        <v>91.399484424605745</v>
      </c>
      <c r="G7" s="41">
        <v>88.38645086318509</v>
      </c>
      <c r="H7" s="41">
        <v>71.063506893081538</v>
      </c>
      <c r="I7" s="42">
        <v>52.957470797036883</v>
      </c>
      <c r="J7" s="41" cm="1">
        <f t="array" ref="J7">-SUMPRODUCT((D1:H1-C1:G1)*(C7:G7+D7:H7)/2)</f>
        <v>81.547963073498323</v>
      </c>
      <c r="K7" s="41" cm="1">
        <f t="array" ref="K7">-SUMPRODUCT((D1:I1-C1:H1)*(C7:H7+D7:I7)/2)</f>
        <v>84.648487515751285</v>
      </c>
      <c r="L7" s="12" t="str">
        <f t="shared" si="0"/>
        <v xml:space="preserve">    92.5388627929308, 92.5968592577214, 92.1317658457253, 91.3994844246057, 88.3864508631851, 71.0635068930815, 52.9574707970369,</v>
      </c>
      <c r="M7" s="7" t="s">
        <v>13</v>
      </c>
      <c r="N7" s="8" t="s">
        <v>16</v>
      </c>
      <c r="O7" s="40">
        <v>3.278810540442274</v>
      </c>
      <c r="P7" s="41">
        <v>3.2750469252400021</v>
      </c>
      <c r="Q7" s="41">
        <v>3.0872319165878661</v>
      </c>
      <c r="R7" s="41">
        <v>3.116510241534836</v>
      </c>
      <c r="S7" s="41">
        <v>3.6330124165638931</v>
      </c>
      <c r="T7" s="41">
        <v>5.8392378785926198</v>
      </c>
      <c r="U7" s="42">
        <v>5.8333958789788376</v>
      </c>
      <c r="V7" s="12" t="str">
        <f t="shared" si="1"/>
        <v xml:space="preserve">    3.27881054044227, 3.27504692524, 3.08723191658787, 3.11651024153484, 3.63301241656389, 5.83923787859262, 5.83339587897884,</v>
      </c>
    </row>
    <row r="8" spans="1:22" ht="15.75" customHeight="1" thickBot="1" x14ac:dyDescent="0.25">
      <c r="A8" s="7" t="s">
        <v>12</v>
      </c>
      <c r="B8" s="8" t="s">
        <v>19</v>
      </c>
      <c r="C8" s="37">
        <v>93.178957718780751</v>
      </c>
      <c r="D8" s="38">
        <v>92.588021234324387</v>
      </c>
      <c r="E8" s="38">
        <v>91.154392915740331</v>
      </c>
      <c r="F8" s="38">
        <v>86.726182752445951</v>
      </c>
      <c r="G8" s="38">
        <v>79.592533960789737</v>
      </c>
      <c r="H8" s="38">
        <v>59.385398374265058</v>
      </c>
      <c r="I8" s="39">
        <v>46.003956204926787</v>
      </c>
      <c r="J8" s="41" cm="1">
        <f t="array" ref="J8">-SUMPRODUCT((D1:H1-C1:G1)*(C8:G8+D8:H8)/2)</f>
        <v>79.241564157129375</v>
      </c>
      <c r="K8" s="41" cm="1">
        <f t="array" ref="K8">-SUMPRODUCT((D1:I1-C1:H1)*(C8:H8+D8:I8)/2)</f>
        <v>81.876298021609173</v>
      </c>
      <c r="L8" s="12"/>
      <c r="M8" s="7" t="s">
        <v>12</v>
      </c>
      <c r="N8" s="8" t="s">
        <v>19</v>
      </c>
      <c r="O8" s="37">
        <v>3.4918802134136859</v>
      </c>
      <c r="P8" s="38">
        <v>3.2674185777936322</v>
      </c>
      <c r="Q8" s="38">
        <v>3.5657852237659609</v>
      </c>
      <c r="R8" s="38">
        <v>4.788330235940748</v>
      </c>
      <c r="S8" s="38">
        <v>6.7304751140555794</v>
      </c>
      <c r="T8" s="38">
        <v>9.9654838580001908</v>
      </c>
      <c r="U8" s="39">
        <v>8.2806755227569209</v>
      </c>
      <c r="V8" s="12"/>
    </row>
    <row r="9" spans="1:22" ht="15.75" customHeight="1" thickBot="1" x14ac:dyDescent="0.25">
      <c r="A9" s="7" t="s">
        <v>12</v>
      </c>
      <c r="B9" s="8" t="s">
        <v>20</v>
      </c>
      <c r="C9" s="55">
        <v>93.484787930691454</v>
      </c>
      <c r="D9" s="32">
        <v>92.286170295590779</v>
      </c>
      <c r="E9" s="32">
        <v>90.520439911533245</v>
      </c>
      <c r="F9" s="32">
        <v>86.970262141829366</v>
      </c>
      <c r="G9" s="32">
        <v>76.004036943802859</v>
      </c>
      <c r="H9" s="32">
        <v>57.733005187472791</v>
      </c>
      <c r="I9" s="33">
        <v>47.315746676009297</v>
      </c>
      <c r="J9" s="41" cm="1">
        <f t="array" ref="J9">-SUMPRODUCT((D1:H1-C1:G1)*(C9:G9+D9:H9)/2)</f>
        <v>78.656833320357435</v>
      </c>
      <c r="K9" s="41" cm="1">
        <f t="array" ref="K9">-SUMPRODUCT((D1:I1-C1:H1)*(C9:H9+D9:I9)/2)</f>
        <v>81.283052116944489</v>
      </c>
      <c r="L9" s="12"/>
      <c r="M9" s="7" t="s">
        <v>12</v>
      </c>
      <c r="N9" s="8" t="s">
        <v>20</v>
      </c>
      <c r="O9" s="55">
        <v>3.4442566922914959</v>
      </c>
      <c r="P9" s="32">
        <v>3.9409056823187019</v>
      </c>
      <c r="Q9" s="32">
        <v>4.0414392946512523</v>
      </c>
      <c r="R9" s="32">
        <v>4.0313253500272799</v>
      </c>
      <c r="S9" s="32">
        <v>9.4673894695851892</v>
      </c>
      <c r="T9" s="32">
        <v>11.13615006293981</v>
      </c>
      <c r="U9" s="33">
        <v>9.7110750490101303</v>
      </c>
      <c r="V9" s="12"/>
    </row>
    <row r="10" spans="1:22" ht="15.75" customHeight="1" thickBot="1" x14ac:dyDescent="0.25">
      <c r="A10" s="7" t="s">
        <v>12</v>
      </c>
      <c r="B10" s="8" t="s">
        <v>17</v>
      </c>
      <c r="C10" s="55">
        <v>93.108161258603744</v>
      </c>
      <c r="D10" s="32">
        <v>92.06688062468821</v>
      </c>
      <c r="E10" s="32">
        <v>91.050153259687931</v>
      </c>
      <c r="F10" s="32">
        <v>88.14252141742864</v>
      </c>
      <c r="G10" s="32">
        <v>81.805525999359858</v>
      </c>
      <c r="H10" s="32">
        <v>61.262652214407851</v>
      </c>
      <c r="I10" s="33">
        <v>50.605371442082827</v>
      </c>
      <c r="J10" s="41" cm="1">
        <f t="array" ref="J10">-SUMPRODUCT((D1:H1-C1:G1)*(C10:G10+D10:H10)/2)</f>
        <v>79.606588220197978</v>
      </c>
      <c r="K10" s="41" cm="1">
        <f t="array" ref="K10">-SUMPRODUCT((D1:I1-C1:H1)*(C10:H10+D10:I10)/2)</f>
        <v>82.403288811610238</v>
      </c>
      <c r="L10" s="12" t="str">
        <f t="shared" si="0"/>
        <v xml:space="preserve">    93.1081612586037, 92.0668806246882, 91.0501532596879, 88.1425214174286, 81.8055259993599, 61.2626522144079, 50.6053714420828,</v>
      </c>
      <c r="M10" s="7" t="s">
        <v>12</v>
      </c>
      <c r="N10" s="8" t="s">
        <v>17</v>
      </c>
      <c r="O10" s="55">
        <v>3.8601198040536779</v>
      </c>
      <c r="P10" s="32">
        <v>3.8002863673418821</v>
      </c>
      <c r="Q10" s="32">
        <v>3.9464349866089141</v>
      </c>
      <c r="R10" s="32">
        <v>3.955874479625876</v>
      </c>
      <c r="S10" s="32">
        <v>5.3194143005645147</v>
      </c>
      <c r="T10" s="32">
        <v>9.6259787509159409</v>
      </c>
      <c r="U10" s="33">
        <v>8.0386616165015887</v>
      </c>
      <c r="V10" s="12"/>
    </row>
    <row r="11" spans="1:22" ht="15.75" customHeight="1" thickBot="1" x14ac:dyDescent="0.25">
      <c r="A11" s="7" t="s">
        <v>11</v>
      </c>
      <c r="B11" s="8" t="s">
        <v>21</v>
      </c>
      <c r="C11" s="43"/>
      <c r="D11" s="44"/>
      <c r="E11" s="44"/>
      <c r="F11" s="44"/>
      <c r="G11" s="44"/>
      <c r="H11" s="44"/>
      <c r="I11" s="45"/>
      <c r="J11" s="41"/>
      <c r="K11" s="41"/>
      <c r="L11" s="12"/>
      <c r="M11" s="7" t="s">
        <v>11</v>
      </c>
      <c r="N11" s="8" t="s">
        <v>21</v>
      </c>
      <c r="O11" s="43"/>
      <c r="P11" s="44"/>
      <c r="Q11" s="44"/>
      <c r="R11" s="44"/>
      <c r="S11" s="44"/>
      <c r="T11" s="44"/>
      <c r="U11" s="45"/>
      <c r="V11" s="12"/>
    </row>
    <row r="12" spans="1:22" ht="15.75" customHeight="1" thickBot="1" x14ac:dyDescent="0.25">
      <c r="A12" s="3" t="s">
        <v>11</v>
      </c>
      <c r="B12" s="8" t="s">
        <v>18</v>
      </c>
      <c r="C12" s="43"/>
      <c r="D12" s="44"/>
      <c r="E12" s="44"/>
      <c r="F12" s="44"/>
      <c r="G12" s="44"/>
      <c r="H12" s="44"/>
      <c r="I12" s="45"/>
      <c r="J12" s="41"/>
      <c r="K12" s="41"/>
      <c r="L12" s="12" t="str">
        <f t="shared" si="0"/>
        <v xml:space="preserve">    ,</v>
      </c>
      <c r="M12" s="3" t="s">
        <v>11</v>
      </c>
      <c r="N12" s="8" t="s">
        <v>18</v>
      </c>
      <c r="O12" s="43"/>
      <c r="P12" s="44"/>
      <c r="Q12" s="44"/>
      <c r="R12" s="44"/>
      <c r="S12" s="44"/>
      <c r="T12" s="44"/>
      <c r="U12" s="45"/>
      <c r="V12" s="12"/>
    </row>
    <row r="13" spans="1:22" ht="15.75" thickBot="1" x14ac:dyDescent="0.25">
      <c r="A13" s="83" t="s">
        <v>22</v>
      </c>
      <c r="B13" s="85"/>
      <c r="C13" s="90"/>
      <c r="D13" s="90"/>
      <c r="E13" s="90"/>
      <c r="F13" s="90"/>
      <c r="G13" s="90"/>
      <c r="H13" s="90"/>
      <c r="I13" s="89"/>
      <c r="J13" s="41"/>
      <c r="K13" s="41"/>
      <c r="L13" s="12"/>
      <c r="M13" s="83" t="s">
        <v>22</v>
      </c>
      <c r="N13" s="85"/>
      <c r="O13" s="90"/>
      <c r="P13" s="90"/>
      <c r="Q13" s="90"/>
      <c r="R13" s="90"/>
      <c r="S13" s="90"/>
      <c r="T13" s="90"/>
      <c r="U13" s="89"/>
      <c r="V13" s="12"/>
    </row>
    <row r="14" spans="1:22" ht="15.75" customHeight="1" thickBot="1" x14ac:dyDescent="0.25">
      <c r="A14" s="83" t="s">
        <v>7</v>
      </c>
      <c r="B14" s="84"/>
      <c r="C14" s="59">
        <v>93.782740335124032</v>
      </c>
      <c r="D14" s="60">
        <v>91.948208894540599</v>
      </c>
      <c r="E14" s="60">
        <v>90.212980504444957</v>
      </c>
      <c r="F14" s="60">
        <v>84.630388959535409</v>
      </c>
      <c r="G14" s="60">
        <v>75.371093175546491</v>
      </c>
      <c r="H14" s="60">
        <v>59.627211308056303</v>
      </c>
      <c r="I14" s="61">
        <v>47.844185503334799</v>
      </c>
      <c r="J14" s="41" cm="1">
        <f t="array" ref="J14">-SUMPRODUCT((D1:H1-C1:G1)*(C14:G14+D14:H14)/2)</f>
        <v>78.220843605913544</v>
      </c>
      <c r="K14" s="41" cm="1">
        <f t="array" ref="K14">-SUMPRODUCT((D1:I1-C1:H1)*(C14:H14+D14:I14)/2)</f>
        <v>80.907628526198323</v>
      </c>
      <c r="L14" s="12" t="str">
        <f t="shared" si="0"/>
        <v xml:space="preserve">    93.782740335124, 91.9482088945406, 90.212980504445, 84.6303889595354, 75.3710931755465, 59.6272113080563, 47.8441855033348,</v>
      </c>
      <c r="M14" s="83" t="s">
        <v>7</v>
      </c>
      <c r="N14" s="84"/>
      <c r="O14" s="59">
        <v>3.5391983918820551</v>
      </c>
      <c r="P14" s="60">
        <v>4.1060038651541966</v>
      </c>
      <c r="Q14" s="60">
        <v>4.774795806468676</v>
      </c>
      <c r="R14" s="60">
        <v>5.3483339064680431</v>
      </c>
      <c r="S14" s="60">
        <v>8.0994903921197494</v>
      </c>
      <c r="T14" s="60">
        <v>10.59987402205407</v>
      </c>
      <c r="U14" s="61">
        <v>8.7604668874903737</v>
      </c>
      <c r="V14" s="12" t="str">
        <f t="shared" si="1"/>
        <v xml:space="preserve">    3.53919839188206, 4.1060038651542, 4.77479580646868, 5.34833390646804, 8.09949039211975, 10.5998740220541, 8.76046688749037,</v>
      </c>
    </row>
    <row r="15" spans="1:22" ht="15.75" customHeight="1" thickBot="1" x14ac:dyDescent="0.25">
      <c r="A15" s="88" t="s">
        <v>8</v>
      </c>
      <c r="B15" s="89"/>
      <c r="C15" s="62">
        <v>93.226230330712227</v>
      </c>
      <c r="D15" s="12">
        <v>91.83329152212967</v>
      </c>
      <c r="E15" s="12">
        <v>90.325291164571794</v>
      </c>
      <c r="F15" s="12">
        <v>85.383492360083878</v>
      </c>
      <c r="G15" s="12">
        <v>76.567000291236639</v>
      </c>
      <c r="H15" s="12">
        <v>59.41454222499042</v>
      </c>
      <c r="I15" s="63">
        <v>50.563407411252108</v>
      </c>
      <c r="J15" s="41" cm="1">
        <f t="array" ref="J15">-SUMPRODUCT((D1:H1-C1:G1)*(C15:G15+D15:H15)/2)</f>
        <v>78.369743178285859</v>
      </c>
      <c r="K15" s="41" cm="1">
        <f t="array" ref="K15">-SUMPRODUCT((D1:I1-C1:H1)*(C15:H15+D15:I15)/2)</f>
        <v>81.11919191919192</v>
      </c>
      <c r="L15" s="12" t="str">
        <f t="shared" si="0"/>
        <v xml:space="preserve">    93.2262303307122, 91.8332915221297, 90.3252911645718, 85.3834923600839, 76.5670002912366, 59.4145422249904, 50.5634074112521,</v>
      </c>
      <c r="M15" s="83" t="s">
        <v>8</v>
      </c>
      <c r="N15" s="84"/>
      <c r="O15" s="62">
        <v>3.945711842949601</v>
      </c>
      <c r="P15" s="12">
        <v>4.8525950161134093</v>
      </c>
      <c r="Q15" s="12">
        <v>4.4346894499148144</v>
      </c>
      <c r="R15" s="12">
        <v>5.4810029574676529</v>
      </c>
      <c r="S15" s="12">
        <v>8.4636725644600066</v>
      </c>
      <c r="T15" s="12">
        <v>10.788297692871961</v>
      </c>
      <c r="U15" s="63">
        <v>8.7433484877826491</v>
      </c>
      <c r="V15" s="12" t="str">
        <f t="shared" si="1"/>
        <v xml:space="preserve">    3.9457118429496, 4.85259501611341, 4.43468944991481, 5.48100295746765, 8.46367256446001, 10.788297692872, 8.74334848778265,</v>
      </c>
    </row>
    <row r="16" spans="1:22" ht="15.75" customHeight="1" thickBot="1" x14ac:dyDescent="0.25">
      <c r="A16" s="83" t="s">
        <v>23</v>
      </c>
      <c r="B16" s="84"/>
      <c r="C16" s="62">
        <v>93.004922187908207</v>
      </c>
      <c r="D16" s="12">
        <v>91.518502178507859</v>
      </c>
      <c r="E16" s="12">
        <v>89.729420958082102</v>
      </c>
      <c r="F16" s="12">
        <v>83.348607398564567</v>
      </c>
      <c r="G16" s="12">
        <v>74.087719905304837</v>
      </c>
      <c r="H16" s="12">
        <v>57.917332041511322</v>
      </c>
      <c r="I16" s="63">
        <v>48.007794185070807</v>
      </c>
      <c r="J16" s="41" cm="1">
        <f t="array" ref="J16">-SUMPRODUCT((D1:H1-C1:G1)*(C16:G16+D16:H16)/2)</f>
        <v>77.501290236074709</v>
      </c>
      <c r="K16" s="41" cm="1">
        <f t="array" ref="K16">-SUMPRODUCT((D1:I1-C1:H1)*(C16:H16+D16:I16)/2)</f>
        <v>80.14941839173926</v>
      </c>
      <c r="L16" s="12" t="str">
        <f t="shared" si="0"/>
        <v xml:space="preserve">    93.0049221879082, 91.5185021785079, 89.7294209580821, 83.3486073985646, 74.0877199053048, 57.9173320415113, 48.0077941850708,</v>
      </c>
      <c r="M16" s="83" t="s">
        <v>23</v>
      </c>
      <c r="N16" s="84"/>
      <c r="O16" s="62">
        <v>3.690401528555848</v>
      </c>
      <c r="P16" s="12">
        <v>4.2469367469027457</v>
      </c>
      <c r="Q16" s="12">
        <v>4.4611096369834957</v>
      </c>
      <c r="R16" s="12">
        <v>5.4089286426803449</v>
      </c>
      <c r="S16" s="12">
        <v>9.092124974067179</v>
      </c>
      <c r="T16" s="12">
        <v>10.83557708581068</v>
      </c>
      <c r="U16" s="63">
        <v>9.2904800440053528</v>
      </c>
      <c r="V16" s="12" t="str">
        <f t="shared" si="1"/>
        <v xml:space="preserve">    3.69040152855585, 4.24693674690275, 4.4611096369835, 5.40892864268034, 9.09212497406718, 10.8355770858107, 9.29048004400535,</v>
      </c>
    </row>
    <row r="17" spans="1:22" ht="15.75" customHeight="1" thickBot="1" x14ac:dyDescent="0.25">
      <c r="A17" s="83" t="s">
        <v>24</v>
      </c>
      <c r="B17" s="84"/>
      <c r="C17" s="64">
        <v>93.123279613145442</v>
      </c>
      <c r="D17" s="65">
        <v>91.674385879923975</v>
      </c>
      <c r="E17" s="65">
        <v>89.698688281617194</v>
      </c>
      <c r="F17" s="65">
        <v>84.957067102656595</v>
      </c>
      <c r="G17" s="65">
        <v>75.939082518014857</v>
      </c>
      <c r="H17" s="65">
        <v>59.995092229748238</v>
      </c>
      <c r="I17" s="66">
        <v>48.440303693515233</v>
      </c>
      <c r="J17" s="41" cm="1">
        <f t="array" ref="J17">-SUMPRODUCT((D1:H1-C1:G1)*(C17:G17+D17:H17)/2)</f>
        <v>78.078434213675436</v>
      </c>
      <c r="K17" s="41" cm="1">
        <f t="array" ref="K17">-SUMPRODUCT((D1:I1-C1:H1)*(C17:H17+D17:I17)/2)</f>
        <v>80.789319111757024</v>
      </c>
      <c r="L17" s="12"/>
      <c r="M17" s="83" t="s">
        <v>24</v>
      </c>
      <c r="N17" s="84"/>
      <c r="O17" s="64">
        <v>3.8088682011350912</v>
      </c>
      <c r="P17" s="65">
        <v>4.4783864386850611</v>
      </c>
      <c r="Q17" s="65">
        <v>5.0849840192173117</v>
      </c>
      <c r="R17" s="65">
        <v>5.0366327026230584</v>
      </c>
      <c r="S17" s="65">
        <v>7.6643798786674449</v>
      </c>
      <c r="T17" s="65">
        <v>10.05146904627655</v>
      </c>
      <c r="U17" s="66">
        <v>9.821397671709315</v>
      </c>
      <c r="V17" s="12"/>
    </row>
    <row r="18" spans="1:22" ht="15.75" customHeight="1" thickBot="1" x14ac:dyDescent="0.25">
      <c r="A18" s="83" t="s">
        <v>25</v>
      </c>
      <c r="B18" s="85"/>
      <c r="C18" s="86"/>
      <c r="D18" s="86"/>
      <c r="E18" s="86"/>
      <c r="F18" s="86"/>
      <c r="G18" s="86"/>
      <c r="H18" s="86"/>
      <c r="I18" s="87"/>
      <c r="J18" s="41"/>
      <c r="K18" s="41"/>
      <c r="L18" s="12"/>
      <c r="M18" s="83" t="s">
        <v>25</v>
      </c>
      <c r="N18" s="85"/>
      <c r="O18" s="86"/>
      <c r="P18" s="86"/>
      <c r="Q18" s="86"/>
      <c r="R18" s="86"/>
      <c r="S18" s="86"/>
      <c r="T18" s="86"/>
      <c r="U18" s="87"/>
      <c r="V18" s="12"/>
    </row>
    <row r="19" spans="1:22" ht="15.75" customHeight="1" thickBot="1" x14ac:dyDescent="0.25">
      <c r="A19" s="83" t="s">
        <v>7</v>
      </c>
      <c r="B19" s="84"/>
      <c r="C19" s="59">
        <v>92.969518190757128</v>
      </c>
      <c r="D19" s="60">
        <v>91.851524090462149</v>
      </c>
      <c r="E19" s="60">
        <v>90.756145526057011</v>
      </c>
      <c r="F19" s="60">
        <v>87.253136561158271</v>
      </c>
      <c r="G19" s="60">
        <v>81.178972136437139</v>
      </c>
      <c r="H19" s="60">
        <v>57.386929529378847</v>
      </c>
      <c r="I19" s="61">
        <v>44.855442809482213</v>
      </c>
      <c r="J19" s="41" cm="1">
        <f t="array" ref="J19">-SUMPRODUCT((D1:H1-C1:G1)*(C19:G19+D19:H19)/2)</f>
        <v>79.079417714109411</v>
      </c>
      <c r="K19" s="41" cm="1">
        <f t="array" ref="K19">-SUMPRODUCT((D1:I1-C1:H1)*(C19:H19+D19:I19)/2)</f>
        <v>81.635477022580943</v>
      </c>
      <c r="L19" s="12" t="str">
        <f t="shared" ref="L19:L21" si="2">"    "&amp;_xlfn.TEXTJOIN(", ",TRUE,C19:I19)&amp;","</f>
        <v xml:space="preserve">    92.9695181907571, 91.8515240904621, 90.756145526057, 87.2531365611583, 81.1789721364371, 57.3869295293788, 44.8554428094822,</v>
      </c>
      <c r="M19" s="83" t="s">
        <v>7</v>
      </c>
      <c r="N19" s="84"/>
      <c r="O19" s="59">
        <v>3.3991921823554931</v>
      </c>
      <c r="P19" s="60">
        <v>3.6561489783789969</v>
      </c>
      <c r="Q19" s="60">
        <v>3.4316179388806831</v>
      </c>
      <c r="R19" s="60">
        <v>3.3610781227617821</v>
      </c>
      <c r="S19" s="60">
        <v>5.2773835873092807</v>
      </c>
      <c r="T19" s="60">
        <v>8.2027130196510409</v>
      </c>
      <c r="U19" s="61">
        <v>5.203571843512913</v>
      </c>
      <c r="V19" s="12" t="str">
        <f t="shared" ref="V19:V21" si="3">"    "&amp;_xlfn.TEXTJOIN(", ",TRUE,O19:U19)&amp;","</f>
        <v xml:space="preserve">    3.39919218235549, 3.656148978379, 3.43161793888068, 3.36107812276178, 5.27738358730928, 8.20271301965104, 5.20357184351291,</v>
      </c>
    </row>
    <row r="20" spans="1:22" ht="15.75" customHeight="1" thickBot="1" x14ac:dyDescent="0.25">
      <c r="A20" s="88" t="s">
        <v>8</v>
      </c>
      <c r="B20" s="89"/>
      <c r="C20" s="62">
        <v>91.898721730580135</v>
      </c>
      <c r="D20" s="12">
        <v>90.765995668936</v>
      </c>
      <c r="E20" s="12">
        <v>89.705268500015848</v>
      </c>
      <c r="F20" s="12">
        <v>87.959685349065893</v>
      </c>
      <c r="G20" s="12">
        <v>85.750000720882824</v>
      </c>
      <c r="H20" s="12">
        <v>71.387388010853613</v>
      </c>
      <c r="I20" s="63">
        <v>45.596343105620853</v>
      </c>
      <c r="J20" s="41" cm="1">
        <f t="array" ref="J20">-SUMPRODUCT((D1:H1-C1:G1)*(C20:G20+D20:H20)/2)</f>
        <v>79.700846821050931</v>
      </c>
      <c r="K20" s="41" cm="1">
        <f t="array" ref="K20">-SUMPRODUCT((D1:I1-C1:H1)*(C20:H20+D20:I20)/2)</f>
        <v>82.625440098962798</v>
      </c>
      <c r="L20" s="12" t="str">
        <f t="shared" si="2"/>
        <v xml:space="preserve">    91.8987217305801, 90.765995668936, 89.7052685000158, 87.9596853490659, 85.7500007208828, 71.3873880108536, 45.5963431056209,</v>
      </c>
      <c r="M20" s="83" t="s">
        <v>8</v>
      </c>
      <c r="N20" s="84"/>
      <c r="O20" s="62">
        <v>3.190312271555559</v>
      </c>
      <c r="P20" s="12">
        <v>2.8828036064622768</v>
      </c>
      <c r="Q20" s="12">
        <v>2.5884740771146331</v>
      </c>
      <c r="R20" s="12">
        <v>2.6213450470877251</v>
      </c>
      <c r="S20" s="12">
        <v>3.203569989687661</v>
      </c>
      <c r="T20" s="12">
        <v>4.756712112750666</v>
      </c>
      <c r="U20" s="63">
        <v>2.488810891584841</v>
      </c>
      <c r="V20" s="12" t="str">
        <f t="shared" si="3"/>
        <v xml:space="preserve">    3.19031227155556, 2.88280360646228, 2.58847407711463, 2.62134504708773, 3.20356998968766, 4.75671211275067, 2.48881089158484,</v>
      </c>
    </row>
    <row r="21" spans="1:22" ht="15.75" customHeight="1" thickBot="1" x14ac:dyDescent="0.25">
      <c r="A21" s="83" t="s">
        <v>23</v>
      </c>
      <c r="B21" s="84"/>
      <c r="C21" s="62">
        <v>93.044276622923505</v>
      </c>
      <c r="D21" s="12">
        <v>91.935155148400938</v>
      </c>
      <c r="E21" s="12">
        <v>90.94889229145582</v>
      </c>
      <c r="F21" s="12">
        <v>85.952505356159378</v>
      </c>
      <c r="G21" s="12">
        <v>78.915183810701947</v>
      </c>
      <c r="H21" s="12">
        <v>59.442100133507502</v>
      </c>
      <c r="I21" s="63">
        <v>49.533828147302302</v>
      </c>
      <c r="J21" s="41" cm="1">
        <f t="array" ref="J21">-SUMPRODUCT((D1:H1-C1:G1)*(C21:G21+D21:H21)/2)</f>
        <v>78.834323321712716</v>
      </c>
      <c r="K21" s="41" cm="1">
        <f t="array" ref="K21">-SUMPRODUCT((D1:I1-C1:H1)*(C21:H21+D21:I21)/2)</f>
        <v>81.55872152873296</v>
      </c>
      <c r="L21" s="12" t="str">
        <f t="shared" si="2"/>
        <v xml:space="preserve">    93.0442766229235, 91.9351551484009, 90.9488922914558, 85.9525053561594, 78.9151838107019, 59.4421001335075, 49.5338281473023,</v>
      </c>
      <c r="M21" s="83" t="s">
        <v>23</v>
      </c>
      <c r="N21" s="84"/>
      <c r="O21" s="62">
        <v>3.72078192123604</v>
      </c>
      <c r="P21" s="12">
        <v>4.0467152776216686</v>
      </c>
      <c r="Q21" s="12">
        <v>4.0235763627769954</v>
      </c>
      <c r="R21" s="12">
        <v>4.4767633212331157</v>
      </c>
      <c r="S21" s="12">
        <v>7.2019016527503927</v>
      </c>
      <c r="T21" s="12">
        <v>10.04668436860082</v>
      </c>
      <c r="U21" s="63">
        <v>9.2355901481835172</v>
      </c>
      <c r="V21" s="12" t="str">
        <f t="shared" si="3"/>
        <v xml:space="preserve">    3.72078192123604, 4.04671527762167, 4.023576362777, 4.47676332123312, 7.20190165275039, 10.0466843686008, 9.23559014818352,</v>
      </c>
    </row>
    <row r="22" spans="1:22" ht="15.75" customHeight="1" thickBot="1" x14ac:dyDescent="0.25">
      <c r="A22" s="83" t="s">
        <v>24</v>
      </c>
      <c r="B22" s="84"/>
      <c r="C22" s="64">
        <v>93.174110502686005</v>
      </c>
      <c r="D22" s="65">
        <v>91.391724841910417</v>
      </c>
      <c r="E22" s="65">
        <v>89.591539142495463</v>
      </c>
      <c r="F22" s="65">
        <v>84.690597092823751</v>
      </c>
      <c r="G22" s="65">
        <v>76.401347185817656</v>
      </c>
      <c r="H22" s="65">
        <v>59.963667505774268</v>
      </c>
      <c r="I22" s="66">
        <v>47.725577210875521</v>
      </c>
      <c r="J22" s="41" cm="1">
        <f t="array" ref="J22">-SUMPRODUCT((D1:H1-C1:G1)*(C22:G22+D22:H22)/2)</f>
        <v>77.994698988168864</v>
      </c>
      <c r="K22" s="41" cm="1">
        <f t="array" ref="K22">-SUMPRODUCT((D1:I1-C1:H1)*(C22:H22+D22:I22)/2)</f>
        <v>80.686930106085114</v>
      </c>
      <c r="L22" s="12"/>
      <c r="M22" s="83" t="s">
        <v>24</v>
      </c>
      <c r="N22" s="84"/>
      <c r="O22" s="64">
        <v>3.8766021792735019</v>
      </c>
      <c r="P22" s="65">
        <v>4.8126411406228078</v>
      </c>
      <c r="Q22" s="65">
        <v>4.6512210016047986</v>
      </c>
      <c r="R22" s="65">
        <v>5.2416066355763284</v>
      </c>
      <c r="S22" s="65">
        <v>8.0769588602235256</v>
      </c>
      <c r="T22" s="65">
        <v>10.657363307561541</v>
      </c>
      <c r="U22" s="66">
        <v>9.200486032966916</v>
      </c>
      <c r="V22" s="12"/>
    </row>
    <row r="23" spans="1:22" ht="15" thickBot="1" x14ac:dyDescent="0.25">
      <c r="A23" s="31"/>
      <c r="B23" s="31"/>
      <c r="C23" s="31"/>
      <c r="D23" s="31"/>
      <c r="E23" s="31"/>
      <c r="F23" s="31"/>
      <c r="G23" s="31"/>
      <c r="H23" s="31"/>
      <c r="I23" s="31"/>
      <c r="J23" s="31"/>
      <c r="K23" s="31"/>
      <c r="M23" s="31"/>
      <c r="N23" s="31"/>
      <c r="O23" s="31"/>
      <c r="P23" s="31"/>
      <c r="Q23" s="31"/>
      <c r="R23" s="31"/>
      <c r="S23" s="31"/>
      <c r="T23" s="31"/>
      <c r="U23" s="31"/>
    </row>
    <row r="24" spans="1:22" ht="15.75" thickBot="1" x14ac:dyDescent="0.25">
      <c r="A24" s="4" t="s">
        <v>3</v>
      </c>
      <c r="B24" s="5" t="s">
        <v>1</v>
      </c>
      <c r="C24" s="15">
        <v>1</v>
      </c>
      <c r="D24" s="15">
        <v>0.75</v>
      </c>
      <c r="E24" s="15">
        <v>0.5</v>
      </c>
      <c r="F24" s="15">
        <v>0.3</v>
      </c>
      <c r="G24" s="15">
        <v>0.2</v>
      </c>
      <c r="H24" s="15">
        <v>0.1</v>
      </c>
      <c r="I24" s="5">
        <v>0.05</v>
      </c>
      <c r="J24" s="19"/>
      <c r="K24" s="19"/>
      <c r="L24" s="1"/>
      <c r="M24" s="4" t="s">
        <v>4</v>
      </c>
      <c r="N24" s="5" t="s">
        <v>1</v>
      </c>
      <c r="O24" s="16">
        <v>1</v>
      </c>
      <c r="P24" s="16">
        <v>0.75</v>
      </c>
      <c r="Q24" s="16">
        <v>0.5</v>
      </c>
      <c r="R24" s="16">
        <v>0.3</v>
      </c>
      <c r="S24" s="16">
        <v>0.2</v>
      </c>
      <c r="T24" s="16">
        <v>0.1</v>
      </c>
      <c r="U24" s="2">
        <v>0.05</v>
      </c>
      <c r="V24" s="1"/>
    </row>
    <row r="25" spans="1:22" ht="15.75" thickBot="1" x14ac:dyDescent="0.25">
      <c r="A25" s="75" t="s">
        <v>5</v>
      </c>
      <c r="B25" s="76"/>
      <c r="C25" s="47">
        <v>92.567111769713335</v>
      </c>
      <c r="D25" s="47">
        <v>90.835858608343599</v>
      </c>
      <c r="E25" s="47">
        <v>89.217505339533233</v>
      </c>
      <c r="F25" s="47">
        <v>83.237245964288078</v>
      </c>
      <c r="G25" s="47">
        <v>75.380430844191011</v>
      </c>
      <c r="H25" s="47">
        <v>58.994367187597383</v>
      </c>
      <c r="I25" s="48">
        <v>43.622535641382179</v>
      </c>
      <c r="J25" s="50"/>
      <c r="K25" s="50"/>
      <c r="L25" s="1" t="str">
        <f>"    "&amp;_xlfn.TEXTJOIN(", ",TRUE,C25:I25)&amp;","</f>
        <v xml:space="preserve">    92.5671117697133, 90.8358586083436, 89.2175053395332, 83.2372459642881, 75.380430844191, 58.9943671875974, 43.6225356413822,</v>
      </c>
      <c r="M25" s="75" t="s">
        <v>5</v>
      </c>
      <c r="N25" s="76"/>
      <c r="O25" s="46">
        <v>3.88093621561358</v>
      </c>
      <c r="P25" s="47">
        <v>4.8164746829677396</v>
      </c>
      <c r="Q25" s="47">
        <v>5.2250608386616522</v>
      </c>
      <c r="R25" s="47">
        <v>5.6675721086724113</v>
      </c>
      <c r="S25" s="47">
        <v>8.3263283482936075</v>
      </c>
      <c r="T25" s="47">
        <v>10.49020927094638</v>
      </c>
      <c r="U25" s="48">
        <v>11.060437347759546</v>
      </c>
      <c r="V25" s="1" t="str">
        <f>"    "&amp;_xlfn.TEXTJOIN(", ",TRUE,O25:U25)&amp;","</f>
        <v xml:space="preserve">    3.88093621561358, 4.81647468296774, 5.22506083866165, 5.66757210867241, 8.32632834829361, 10.4902092709464, 11.0604373477595,</v>
      </c>
    </row>
    <row r="26" spans="1:22" ht="15.75" thickBot="1" x14ac:dyDescent="0.25">
      <c r="A26" s="75" t="s">
        <v>6</v>
      </c>
      <c r="B26" s="76"/>
      <c r="C26" s="47">
        <v>92.866950218042462</v>
      </c>
      <c r="D26" s="47">
        <v>91.242690764745561</v>
      </c>
      <c r="E26" s="47">
        <v>90.137053227698445</v>
      </c>
      <c r="F26" s="47">
        <v>86.080152926613408</v>
      </c>
      <c r="G26" s="47">
        <v>77.410217255196784</v>
      </c>
      <c r="H26" s="47">
        <v>59.676194764980139</v>
      </c>
      <c r="I26" s="48">
        <v>46.395490419404197</v>
      </c>
      <c r="J26" s="50"/>
      <c r="K26" s="50"/>
      <c r="L26" s="1" t="str">
        <f>"    "&amp;_xlfn.TEXTJOIN(", ",TRUE,C26:I26)&amp;","</f>
        <v xml:space="preserve">    92.8669502180425, 91.2426907647456, 90.1370532276984, 86.0801529266134, 77.4102172551968, 59.6761947649801, 46.3954904194042,</v>
      </c>
      <c r="M26" s="75" t="s">
        <v>6</v>
      </c>
      <c r="N26" s="76"/>
      <c r="O26" s="47">
        <v>3.8319643020864191</v>
      </c>
      <c r="P26" s="47">
        <v>4.3603246705255447</v>
      </c>
      <c r="Q26" s="47">
        <v>4.7987735191879262</v>
      </c>
      <c r="R26" s="47">
        <v>5.1262965367330251</v>
      </c>
      <c r="S26" s="47">
        <v>7.087258799823358</v>
      </c>
      <c r="T26" s="47">
        <v>9.7457736576346736</v>
      </c>
      <c r="U26" s="48">
        <v>10.021578856839133</v>
      </c>
      <c r="V26" s="1" t="str">
        <f t="shared" ref="V26:V39" si="4">"    "&amp;_xlfn.TEXTJOIN(", ",TRUE,O26:U26)&amp;","</f>
        <v xml:space="preserve">    3.83196430208642, 4.36032467052554, 4.79877351918793, 5.12629653673303, 7.08725879982336, 9.74577365763467, 10.0215788568391,</v>
      </c>
    </row>
    <row r="27" spans="1:22" ht="15.75" thickBot="1" x14ac:dyDescent="0.25">
      <c r="A27" s="75" t="s">
        <v>10</v>
      </c>
      <c r="B27" s="76"/>
      <c r="C27" s="34">
        <v>87.268396410214976</v>
      </c>
      <c r="D27" s="35">
        <v>87.256428398686779</v>
      </c>
      <c r="E27" s="35">
        <v>87.822106304170404</v>
      </c>
      <c r="F27" s="35">
        <v>87.68072644235157</v>
      </c>
      <c r="G27" s="35">
        <v>87.144879367185226</v>
      </c>
      <c r="H27" s="35">
        <v>74.976567886515753</v>
      </c>
      <c r="I27" s="36">
        <v>46.41754739488244</v>
      </c>
      <c r="J27" s="50"/>
      <c r="K27" s="50"/>
      <c r="L27" s="1" t="str">
        <f t="shared" ref="L27:L35" si="5">"    "&amp;_xlfn.TEXTJOIN(", ",TRUE,C27:I27)&amp;","</f>
        <v xml:space="preserve">    87.268396410215, 87.2564283986868, 87.8221063041704, 87.6807264423516, 87.1448793671852, 74.9765678865158, 46.4175473948824,</v>
      </c>
      <c r="M27" s="75" t="s">
        <v>10</v>
      </c>
      <c r="N27" s="76"/>
      <c r="O27" s="34">
        <v>2.610595868561878</v>
      </c>
      <c r="P27" s="35">
        <v>2.3209805270224559</v>
      </c>
      <c r="Q27" s="35">
        <v>2.4426244152699921</v>
      </c>
      <c r="R27" s="35">
        <v>2.2821255442986761</v>
      </c>
      <c r="S27" s="35">
        <v>2.523131741400912</v>
      </c>
      <c r="T27" s="35">
        <v>3.7626100419371111</v>
      </c>
      <c r="U27" s="36">
        <v>4.1161081119796732</v>
      </c>
      <c r="V27" s="1" t="str">
        <f t="shared" si="4"/>
        <v xml:space="preserve">    2.61059586856188, 2.32098052702246, 2.44262441526999, 2.28212554429868, 2.52313174140091, 3.76261004193711, 4.11610811197967,</v>
      </c>
    </row>
    <row r="28" spans="1:22" ht="15.75" thickBot="1" x14ac:dyDescent="0.25">
      <c r="A28" s="75" t="s">
        <v>14</v>
      </c>
      <c r="B28" s="79"/>
      <c r="C28" s="79"/>
      <c r="D28" s="79"/>
      <c r="E28" s="79"/>
      <c r="F28" s="79"/>
      <c r="G28" s="79"/>
      <c r="H28" s="79"/>
      <c r="I28" s="76"/>
      <c r="J28" s="50"/>
      <c r="K28" s="50"/>
      <c r="L28" s="1"/>
      <c r="M28" s="75" t="s">
        <v>14</v>
      </c>
      <c r="N28" s="79"/>
      <c r="O28" s="79"/>
      <c r="P28" s="79"/>
      <c r="Q28" s="79"/>
      <c r="R28" s="79"/>
      <c r="S28" s="79"/>
      <c r="T28" s="79"/>
      <c r="U28" s="76"/>
      <c r="V28" s="1"/>
    </row>
    <row r="29" spans="1:22" ht="15.75" thickBot="1" x14ac:dyDescent="0.25">
      <c r="A29" s="14" t="s">
        <v>12</v>
      </c>
      <c r="B29" s="9" t="s">
        <v>15</v>
      </c>
      <c r="C29" s="28">
        <v>92.718331539365238</v>
      </c>
      <c r="D29" s="29">
        <v>92.140084144598461</v>
      </c>
      <c r="E29" s="29">
        <v>91.379904797106931</v>
      </c>
      <c r="F29" s="29">
        <v>88.378075938007726</v>
      </c>
      <c r="G29" s="29">
        <v>84.574966803458963</v>
      </c>
      <c r="H29" s="29">
        <v>64.524084468318208</v>
      </c>
      <c r="I29" s="30">
        <v>53.783251685995403</v>
      </c>
      <c r="J29" s="50"/>
      <c r="K29" s="50"/>
      <c r="L29" s="1" t="str">
        <f t="shared" si="5"/>
        <v xml:space="preserve">    92.7183315393652, 92.1400841445985, 91.3799047971069, 88.3780759380077, 84.574966803459, 64.5240844683182, 53.7832516859954,</v>
      </c>
      <c r="M29" s="14" t="s">
        <v>12</v>
      </c>
      <c r="N29" s="9" t="s">
        <v>15</v>
      </c>
      <c r="O29" s="28">
        <v>3.7093306081953399</v>
      </c>
      <c r="P29" s="29">
        <v>3.557353374868756</v>
      </c>
      <c r="Q29" s="29">
        <v>3.8505126265401719</v>
      </c>
      <c r="R29" s="29">
        <v>4.6860631563763482</v>
      </c>
      <c r="S29" s="29">
        <v>5.2335990268297223</v>
      </c>
      <c r="T29" s="29">
        <v>8.5303914956588702</v>
      </c>
      <c r="U29" s="30">
        <v>9.1099237449071975</v>
      </c>
      <c r="V29" s="1" t="str">
        <f t="shared" si="4"/>
        <v xml:space="preserve">    3.70933060819534, 3.55735337486876, 3.85051262654017, 4.68606315637635, 5.23359902682972, 8.53039149565887, 9.1099237449072,</v>
      </c>
    </row>
    <row r="30" spans="1:22" ht="15.75" thickBot="1" x14ac:dyDescent="0.25">
      <c r="A30" s="14" t="s">
        <v>13</v>
      </c>
      <c r="B30" s="9" t="s">
        <v>16</v>
      </c>
      <c r="C30" s="49">
        <v>92.111918497964766</v>
      </c>
      <c r="D30" s="50">
        <v>92.236437130021557</v>
      </c>
      <c r="E30" s="50">
        <v>91.847628837606763</v>
      </c>
      <c r="F30" s="50">
        <v>91.031961472589515</v>
      </c>
      <c r="G30" s="50">
        <v>87.968996103656281</v>
      </c>
      <c r="H30" s="50">
        <v>70.680435455032196</v>
      </c>
      <c r="I30" s="51">
        <v>51.144510191286152</v>
      </c>
      <c r="J30" s="50"/>
      <c r="K30" s="50"/>
      <c r="L30" s="1" t="str">
        <f t="shared" si="5"/>
        <v xml:space="preserve">    92.1119184979648, 92.2364371300216, 91.8476288376068, 91.0319614725895, 87.9689961036563, 70.6804354550322, 51.1445101912862,</v>
      </c>
      <c r="M30" s="14" t="s">
        <v>13</v>
      </c>
      <c r="N30" s="9" t="s">
        <v>16</v>
      </c>
      <c r="O30" s="49">
        <v>3.5860589390986259</v>
      </c>
      <c r="P30" s="50">
        <v>3.5458492835339008</v>
      </c>
      <c r="Q30" s="50">
        <v>3.3222516092178069</v>
      </c>
      <c r="R30" s="50">
        <v>3.385168684859547</v>
      </c>
      <c r="S30" s="50">
        <v>3.8142946105661402</v>
      </c>
      <c r="T30" s="50">
        <v>5.9054798361883787</v>
      </c>
      <c r="U30" s="51">
        <v>6.303799515839513</v>
      </c>
      <c r="V30" s="1" t="str">
        <f t="shared" si="4"/>
        <v xml:space="preserve">    3.58605893909863, 3.5458492835339, 3.32225160921781, 3.38516868485955, 3.81429461056614, 5.90547983618838, 6.30379951583951,</v>
      </c>
    </row>
    <row r="31" spans="1:22" ht="15.75" thickBot="1" x14ac:dyDescent="0.25">
      <c r="A31" s="14" t="s">
        <v>12</v>
      </c>
      <c r="B31" s="9" t="s">
        <v>19</v>
      </c>
      <c r="C31" s="47">
        <v>92.825943579912774</v>
      </c>
      <c r="D31" s="47">
        <v>92.155443041619591</v>
      </c>
      <c r="E31" s="47">
        <v>90.757710215515047</v>
      </c>
      <c r="F31" s="47">
        <v>86.103066347316471</v>
      </c>
      <c r="G31" s="47">
        <v>78.832060707290182</v>
      </c>
      <c r="H31" s="47">
        <v>57.474188345490397</v>
      </c>
      <c r="I31" s="48">
        <v>41.050623769761458</v>
      </c>
      <c r="J31" s="50"/>
      <c r="K31" s="50"/>
      <c r="L31" s="1"/>
      <c r="M31" s="14" t="s">
        <v>12</v>
      </c>
      <c r="N31" s="9" t="s">
        <v>19</v>
      </c>
      <c r="O31" s="47">
        <v>3.8019394848570141</v>
      </c>
      <c r="P31" s="47">
        <v>3.575586565560668</v>
      </c>
      <c r="Q31" s="47">
        <v>3.823963538753008</v>
      </c>
      <c r="R31" s="47">
        <v>5.1791780366569888</v>
      </c>
      <c r="S31" s="47">
        <v>7.1631576731781328</v>
      </c>
      <c r="T31" s="47">
        <v>10.59398505131753</v>
      </c>
      <c r="U31" s="48">
        <v>10.09437645234315</v>
      </c>
      <c r="V31" s="1"/>
    </row>
    <row r="32" spans="1:22" ht="15.75" thickBot="1" x14ac:dyDescent="0.25">
      <c r="A32" s="14" t="s">
        <v>12</v>
      </c>
      <c r="B32" s="9" t="s">
        <v>20</v>
      </c>
      <c r="C32" s="34">
        <v>93.041122751220755</v>
      </c>
      <c r="D32" s="35">
        <v>91.860409028861255</v>
      </c>
      <c r="E32" s="35">
        <v>90.078455478721949</v>
      </c>
      <c r="F32" s="35">
        <v>86.392751389335601</v>
      </c>
      <c r="G32" s="35">
        <v>75.019539414722558</v>
      </c>
      <c r="H32" s="35">
        <v>56.592631108340719</v>
      </c>
      <c r="I32" s="36">
        <v>43.843975581234297</v>
      </c>
      <c r="J32" s="50"/>
      <c r="K32" s="50"/>
      <c r="L32" s="1"/>
      <c r="M32" s="14" t="s">
        <v>12</v>
      </c>
      <c r="N32" s="9" t="s">
        <v>20</v>
      </c>
      <c r="O32" s="34">
        <v>3.8448027846295161</v>
      </c>
      <c r="P32" s="35">
        <v>4.3320041409026686</v>
      </c>
      <c r="Q32" s="35">
        <v>4.4538172465866941</v>
      </c>
      <c r="R32" s="35">
        <v>4.3073898502712948</v>
      </c>
      <c r="S32" s="35">
        <v>9.9239732988158718</v>
      </c>
      <c r="T32" s="35">
        <v>11.463911844631459</v>
      </c>
      <c r="U32" s="36">
        <v>10.663674571971409</v>
      </c>
      <c r="V32" s="1"/>
    </row>
    <row r="33" spans="1:22" ht="15.75" thickBot="1" x14ac:dyDescent="0.25">
      <c r="A33" s="14" t="s">
        <v>12</v>
      </c>
      <c r="B33" s="9" t="s">
        <v>17</v>
      </c>
      <c r="C33" s="34">
        <v>92.68357207739561</v>
      </c>
      <c r="D33" s="35">
        <v>91.723989054076753</v>
      </c>
      <c r="E33" s="35">
        <v>90.643879177716514</v>
      </c>
      <c r="F33" s="35">
        <v>87.700045335658899</v>
      </c>
      <c r="G33" s="35">
        <v>81.238224301247357</v>
      </c>
      <c r="H33" s="35">
        <v>60.242672309064993</v>
      </c>
      <c r="I33" s="36">
        <v>47.896022751757073</v>
      </c>
      <c r="J33" s="50"/>
      <c r="K33" s="50"/>
      <c r="L33" s="1" t="str">
        <f t="shared" si="5"/>
        <v xml:space="preserve">    92.6835720773956, 91.7239890540768, 90.6438791777165, 87.7000453356589, 81.2382243012474, 60.242672309065, 47.8960227517571,</v>
      </c>
      <c r="M33" s="14" t="s">
        <v>12</v>
      </c>
      <c r="N33" s="9" t="s">
        <v>17</v>
      </c>
      <c r="O33" s="34">
        <v>4.2575085387426066</v>
      </c>
      <c r="P33" s="35">
        <v>4.1044928297974694</v>
      </c>
      <c r="Q33" s="35">
        <v>4.224361853279194</v>
      </c>
      <c r="R33" s="35">
        <v>4.246956163355768</v>
      </c>
      <c r="S33" s="35">
        <v>5.4782720237935472</v>
      </c>
      <c r="T33" s="35">
        <v>9.9625588159654015</v>
      </c>
      <c r="U33" s="36">
        <v>8.9073404575096671</v>
      </c>
      <c r="V33" s="1"/>
    </row>
    <row r="34" spans="1:22" ht="15.75" thickBot="1" x14ac:dyDescent="0.25">
      <c r="A34" s="14" t="s">
        <v>11</v>
      </c>
      <c r="B34" s="9" t="s">
        <v>21</v>
      </c>
      <c r="C34" s="52"/>
      <c r="D34" s="53"/>
      <c r="E34" s="53"/>
      <c r="F34" s="53"/>
      <c r="G34" s="53"/>
      <c r="H34" s="53"/>
      <c r="I34" s="54"/>
      <c r="J34" s="50"/>
      <c r="K34" s="50"/>
      <c r="L34" s="1"/>
      <c r="M34" s="14" t="s">
        <v>11</v>
      </c>
      <c r="N34" s="9" t="s">
        <v>21</v>
      </c>
      <c r="O34" s="52"/>
      <c r="P34" s="53"/>
      <c r="Q34" s="53"/>
      <c r="R34" s="53"/>
      <c r="S34" s="53"/>
      <c r="T34" s="53"/>
      <c r="U34" s="54"/>
      <c r="V34" s="1"/>
    </row>
    <row r="35" spans="1:22" ht="15.75" thickBot="1" x14ac:dyDescent="0.25">
      <c r="A35" s="14" t="s">
        <v>11</v>
      </c>
      <c r="B35" s="9" t="s">
        <v>18</v>
      </c>
      <c r="C35" s="52"/>
      <c r="D35" s="53"/>
      <c r="E35" s="53"/>
      <c r="F35" s="53"/>
      <c r="G35" s="53"/>
      <c r="H35" s="53"/>
      <c r="I35" s="54"/>
      <c r="J35" s="50"/>
      <c r="K35" s="50"/>
      <c r="L35" s="1" t="str">
        <f t="shared" si="5"/>
        <v xml:space="preserve">    ,</v>
      </c>
      <c r="M35" s="56" t="s">
        <v>11</v>
      </c>
      <c r="N35" s="9" t="s">
        <v>18</v>
      </c>
      <c r="O35" s="52"/>
      <c r="P35" s="53"/>
      <c r="Q35" s="53"/>
      <c r="R35" s="53"/>
      <c r="S35" s="53"/>
      <c r="T35" s="53"/>
      <c r="U35" s="54"/>
      <c r="V35" s="1"/>
    </row>
    <row r="36" spans="1:22" ht="15.75" thickBot="1" x14ac:dyDescent="0.25">
      <c r="A36" s="75" t="s">
        <v>22</v>
      </c>
      <c r="B36" s="79"/>
      <c r="C36" s="82"/>
      <c r="D36" s="82"/>
      <c r="E36" s="82"/>
      <c r="F36" s="82"/>
      <c r="G36" s="82"/>
      <c r="H36" s="82"/>
      <c r="I36" s="78"/>
      <c r="J36" s="50"/>
      <c r="K36" s="50"/>
      <c r="L36" s="1"/>
      <c r="M36" s="75" t="s">
        <v>22</v>
      </c>
      <c r="N36" s="79"/>
      <c r="O36" s="82"/>
      <c r="P36" s="82"/>
      <c r="Q36" s="82"/>
      <c r="R36" s="82"/>
      <c r="S36" s="82"/>
      <c r="T36" s="82"/>
      <c r="U36" s="78"/>
      <c r="V36" s="1"/>
    </row>
    <row r="37" spans="1:22" ht="14.25" customHeight="1" thickBot="1" x14ac:dyDescent="0.25">
      <c r="A37" s="75" t="s">
        <v>7</v>
      </c>
      <c r="B37" s="76"/>
      <c r="C37" s="67">
        <v>93.403798109785029</v>
      </c>
      <c r="D37" s="68">
        <v>91.51700700493744</v>
      </c>
      <c r="E37" s="68">
        <v>89.749880462689262</v>
      </c>
      <c r="F37" s="68">
        <v>83.99730958119234</v>
      </c>
      <c r="G37" s="68">
        <v>74.394962965986878</v>
      </c>
      <c r="H37" s="68">
        <v>58.095582470498513</v>
      </c>
      <c r="I37" s="69">
        <v>44.434812706207254</v>
      </c>
      <c r="J37" s="50"/>
      <c r="K37" s="50"/>
      <c r="L37" s="1" t="str">
        <f t="shared" ref="L37:L39" si="6">"    "&amp;_xlfn.TEXTJOIN(", ",TRUE,C37:I37)&amp;","</f>
        <v xml:space="preserve">    93.403798109785, 91.5170070049374, 89.7498804626893, 83.9973095811923, 74.3949629659869, 58.0955824704985, 44.4348127062073,</v>
      </c>
      <c r="M37" s="75" t="s">
        <v>7</v>
      </c>
      <c r="N37" s="76"/>
      <c r="O37" s="67">
        <v>3.9553866501853321</v>
      </c>
      <c r="P37" s="68">
        <v>4.517630835861226</v>
      </c>
      <c r="Q37" s="68">
        <v>5.2125425794506972</v>
      </c>
      <c r="R37" s="68">
        <v>5.6477461387684551</v>
      </c>
      <c r="S37" s="68">
        <v>8.6090564713117175</v>
      </c>
      <c r="T37" s="68">
        <v>11.357157347254571</v>
      </c>
      <c r="U37" s="69">
        <v>9.3757621724255777</v>
      </c>
      <c r="V37" s="1" t="str">
        <f t="shared" si="4"/>
        <v xml:space="preserve">    3.95538665018533, 4.51763083586123, 5.2125425794507, 5.64774613876846, 8.60905647131172, 11.3571573472546, 9.37576217242558,</v>
      </c>
    </row>
    <row r="38" spans="1:22" ht="15.75" thickBot="1" x14ac:dyDescent="0.25">
      <c r="A38" s="75" t="s">
        <v>8</v>
      </c>
      <c r="B38" s="76"/>
      <c r="C38" s="70">
        <v>92.778947400409621</v>
      </c>
      <c r="D38" s="1">
        <v>91.450368996373655</v>
      </c>
      <c r="E38" s="1">
        <v>89.879480954542075</v>
      </c>
      <c r="F38" s="1">
        <v>84.748756470336986</v>
      </c>
      <c r="G38" s="1">
        <v>75.627608782580538</v>
      </c>
      <c r="H38" s="1">
        <v>58.300265665116903</v>
      </c>
      <c r="I38" s="71">
        <v>48.584106437626268</v>
      </c>
      <c r="J38" s="50"/>
      <c r="K38" s="50"/>
      <c r="L38" s="1" t="str">
        <f t="shared" si="6"/>
        <v xml:space="preserve">    92.7789474004096, 91.4503689963737, 89.8794809545421, 84.748756470337, 75.6276087825805, 58.3002656651169, 48.5841064376263,</v>
      </c>
      <c r="M38" s="75" t="s">
        <v>8</v>
      </c>
      <c r="N38" s="76"/>
      <c r="O38" s="70">
        <v>4.3743918396131134</v>
      </c>
      <c r="P38" s="1">
        <v>5.1779143655465321</v>
      </c>
      <c r="Q38" s="1">
        <v>4.8362705721377752</v>
      </c>
      <c r="R38" s="1">
        <v>5.6797782301447892</v>
      </c>
      <c r="S38" s="1">
        <v>9.0190902977959446</v>
      </c>
      <c r="T38" s="1">
        <v>11.000258135261941</v>
      </c>
      <c r="U38" s="71">
        <v>9.2918474149187738</v>
      </c>
      <c r="V38" s="1" t="str">
        <f t="shared" si="4"/>
        <v xml:space="preserve">    4.37439183961311, 5.17791436554653, 4.83627057213778, 5.67977823014479, 9.01909029779594, 11.0002581352619, 9.29184741491877,</v>
      </c>
    </row>
    <row r="39" spans="1:22" ht="15.75" thickBot="1" x14ac:dyDescent="0.25">
      <c r="A39" s="75" t="s">
        <v>23</v>
      </c>
      <c r="B39" s="76"/>
      <c r="C39" s="70">
        <v>92.492055194421354</v>
      </c>
      <c r="D39" s="1">
        <v>91.055738083245984</v>
      </c>
      <c r="E39" s="1">
        <v>89.241264887762341</v>
      </c>
      <c r="F39" s="1">
        <v>82.713601809643421</v>
      </c>
      <c r="G39" s="1">
        <v>73.133677048774885</v>
      </c>
      <c r="H39" s="1">
        <v>56.229205901331248</v>
      </c>
      <c r="I39" s="71">
        <v>43.695396708102962</v>
      </c>
      <c r="J39" s="50"/>
      <c r="K39" s="50"/>
      <c r="L39" s="1" t="str">
        <f t="shared" si="6"/>
        <v xml:space="preserve">    92.4920551944214, 91.055738083246, 89.2412648877623, 82.7136018096434, 73.1336770487749, 56.2292059013312, 43.695396708103,</v>
      </c>
      <c r="M39" s="75" t="s">
        <v>23</v>
      </c>
      <c r="N39" s="76"/>
      <c r="O39" s="70">
        <v>4.0986250609792014</v>
      </c>
      <c r="P39" s="1">
        <v>4.5926443490712341</v>
      </c>
      <c r="Q39" s="1">
        <v>4.8521598807380544</v>
      </c>
      <c r="R39" s="1">
        <v>5.8188919126166327</v>
      </c>
      <c r="S39" s="1">
        <v>9.5088987825376563</v>
      </c>
      <c r="T39" s="1">
        <v>11.32839542788332</v>
      </c>
      <c r="U39" s="71">
        <v>10.62887090695313</v>
      </c>
      <c r="V39" s="1" t="str">
        <f t="shared" si="4"/>
        <v xml:space="preserve">    4.0986250609792, 4.59264434907123, 4.85215988073805, 5.81889191261663, 9.50889878253766, 11.3283954278833, 10.6288709069531,</v>
      </c>
    </row>
    <row r="40" spans="1:22" ht="15.75" thickBot="1" x14ac:dyDescent="0.25">
      <c r="A40" s="75" t="s">
        <v>24</v>
      </c>
      <c r="B40" s="76"/>
      <c r="C40" s="72">
        <v>92.657174075741665</v>
      </c>
      <c r="D40" s="73">
        <v>91.208050814372243</v>
      </c>
      <c r="E40" s="73">
        <v>89.170455678091372</v>
      </c>
      <c r="F40" s="73">
        <v>84.474616062770011</v>
      </c>
      <c r="G40" s="73">
        <v>75.066668593640316</v>
      </c>
      <c r="H40" s="73">
        <v>58.520340993368222</v>
      </c>
      <c r="I40" s="74">
        <v>44.786141592049418</v>
      </c>
      <c r="J40" s="58"/>
      <c r="K40" s="58"/>
      <c r="L40" s="57"/>
      <c r="M40" s="75" t="s">
        <v>24</v>
      </c>
      <c r="N40" s="76"/>
      <c r="O40" s="72">
        <v>4.2589004392769629</v>
      </c>
      <c r="P40" s="73">
        <v>4.8517186601265534</v>
      </c>
      <c r="Q40" s="73">
        <v>5.6717673083496472</v>
      </c>
      <c r="R40" s="73">
        <v>5.3079507961921779</v>
      </c>
      <c r="S40" s="73">
        <v>7.7884705615072454</v>
      </c>
      <c r="T40" s="73">
        <v>10.595563377926201</v>
      </c>
      <c r="U40" s="74">
        <v>10.945843294214329</v>
      </c>
      <c r="V40" s="1"/>
    </row>
    <row r="41" spans="1:22" ht="15.75" customHeight="1" thickBot="1" x14ac:dyDescent="0.25">
      <c r="A41" s="75" t="s">
        <v>25</v>
      </c>
      <c r="B41" s="79"/>
      <c r="C41" s="80"/>
      <c r="D41" s="80"/>
      <c r="E41" s="80"/>
      <c r="F41" s="80"/>
      <c r="G41" s="80"/>
      <c r="H41" s="80"/>
      <c r="I41" s="81"/>
      <c r="J41" s="50"/>
      <c r="K41" s="50"/>
      <c r="L41" s="1"/>
      <c r="M41" s="75" t="s">
        <v>25</v>
      </c>
      <c r="N41" s="79"/>
      <c r="O41" s="80"/>
      <c r="P41" s="80"/>
      <c r="Q41" s="80"/>
      <c r="R41" s="80"/>
      <c r="S41" s="80"/>
      <c r="T41" s="80"/>
      <c r="U41" s="81"/>
      <c r="V41" s="1"/>
    </row>
    <row r="42" spans="1:22" ht="15.75" customHeight="1" thickBot="1" x14ac:dyDescent="0.25">
      <c r="A42" s="75" t="s">
        <v>7</v>
      </c>
      <c r="B42" s="76"/>
      <c r="C42" s="67">
        <v>92.603769819293618</v>
      </c>
      <c r="D42" s="68">
        <v>91.431947068352812</v>
      </c>
      <c r="E42" s="68">
        <v>90.390795042999585</v>
      </c>
      <c r="F42" s="68">
        <v>86.789562828222273</v>
      </c>
      <c r="G42" s="68">
        <v>80.615554033052248</v>
      </c>
      <c r="H42" s="68">
        <v>56.609578553133908</v>
      </c>
      <c r="I42" s="69">
        <v>41.27928062292434</v>
      </c>
      <c r="J42" s="50"/>
      <c r="K42" s="50"/>
      <c r="L42" s="1" t="str">
        <f t="shared" ref="L42:L44" si="7">"    "&amp;_xlfn.TEXTJOIN(", ",TRUE,C42:I42)&amp;","</f>
        <v xml:space="preserve">    92.6037698192936, 91.4319470683528, 90.3907950429996, 86.7895628282223, 80.6155540330522, 56.6095785531339, 41.2792806229243,</v>
      </c>
      <c r="M42" s="75" t="s">
        <v>7</v>
      </c>
      <c r="N42" s="76"/>
      <c r="O42" s="67">
        <v>3.708759274801273</v>
      </c>
      <c r="P42" s="68">
        <v>3.9640390541215931</v>
      </c>
      <c r="Q42" s="68">
        <v>3.7067998106756881</v>
      </c>
      <c r="R42" s="68">
        <v>3.667452632531309</v>
      </c>
      <c r="S42" s="68">
        <v>5.7548227051500218</v>
      </c>
      <c r="T42" s="68">
        <v>8.5366536877555248</v>
      </c>
      <c r="U42" s="69">
        <v>6.3187793027043018</v>
      </c>
      <c r="V42" s="1" t="str">
        <f t="shared" ref="V42:V44" si="8">"    "&amp;_xlfn.TEXTJOIN(", ",TRUE,O42:U42)&amp;","</f>
        <v xml:space="preserve">    3.70875927480127, 3.96403905412159, 3.70679981067569, 3.66745263253131, 5.75482270515002, 8.53665368775552, 6.3187793027043,</v>
      </c>
    </row>
    <row r="43" spans="1:22" ht="15.75" customHeight="1" thickBot="1" x14ac:dyDescent="0.25">
      <c r="A43" s="77" t="s">
        <v>8</v>
      </c>
      <c r="B43" s="78"/>
      <c r="C43" s="70">
        <v>91.377634404932721</v>
      </c>
      <c r="D43" s="1">
        <v>90.405373333245066</v>
      </c>
      <c r="E43" s="1">
        <v>89.371480308332721</v>
      </c>
      <c r="F43" s="1">
        <v>87.60989862639515</v>
      </c>
      <c r="G43" s="1">
        <v>85.537230701510694</v>
      </c>
      <c r="H43" s="1">
        <v>70.930708745421484</v>
      </c>
      <c r="I43" s="71">
        <v>44.097326232806537</v>
      </c>
      <c r="J43" s="50"/>
      <c r="K43" s="50"/>
      <c r="L43" s="1" t="str">
        <f t="shared" si="7"/>
        <v xml:space="preserve">    91.3776344049327, 90.4053733332451, 89.3714803083327, 87.6098986263952, 85.5372307015107, 70.9307087454215, 44.0973262328065,</v>
      </c>
      <c r="M43" s="75" t="s">
        <v>8</v>
      </c>
      <c r="N43" s="76"/>
      <c r="O43" s="70">
        <v>3.5684194304484111</v>
      </c>
      <c r="P43" s="1">
        <v>3.0347581440341318</v>
      </c>
      <c r="Q43" s="1">
        <v>2.754130276526872</v>
      </c>
      <c r="R43" s="1">
        <v>2.7768782002466339</v>
      </c>
      <c r="S43" s="1">
        <v>3.3184641894178428</v>
      </c>
      <c r="T43" s="1">
        <v>4.9795199020249923</v>
      </c>
      <c r="U43" s="71">
        <v>2.9223071611371929</v>
      </c>
      <c r="V43" s="1" t="str">
        <f t="shared" si="8"/>
        <v xml:space="preserve">    3.56841943044841, 3.03475814403413, 2.75413027652687, 2.77687820024663, 3.31846418941784, 4.97951990202499, 2.92230716113719,</v>
      </c>
    </row>
    <row r="44" spans="1:22" ht="15.75" customHeight="1" thickBot="1" x14ac:dyDescent="0.25">
      <c r="A44" s="75" t="s">
        <v>23</v>
      </c>
      <c r="B44" s="76"/>
      <c r="C44" s="70">
        <v>92.603715202692385</v>
      </c>
      <c r="D44" s="1">
        <v>91.484997502720319</v>
      </c>
      <c r="E44" s="1">
        <v>90.630171299324857</v>
      </c>
      <c r="F44" s="1">
        <v>85.342034697064548</v>
      </c>
      <c r="G44" s="1">
        <v>78.208607944308184</v>
      </c>
      <c r="H44" s="1">
        <v>58.188767254712552</v>
      </c>
      <c r="I44" s="71">
        <v>45.468919562576168</v>
      </c>
      <c r="J44" s="50"/>
      <c r="K44" s="50"/>
      <c r="L44" s="1" t="str">
        <f t="shared" si="7"/>
        <v xml:space="preserve">    92.6037152026924, 91.4849975027203, 90.6301712993249, 85.3420346970645, 78.2086079443082, 58.1887672547126, 45.4689195625762,</v>
      </c>
      <c r="M44" s="75" t="s">
        <v>23</v>
      </c>
      <c r="N44" s="76"/>
      <c r="O44" s="70">
        <v>4.0727132923350373</v>
      </c>
      <c r="P44" s="1">
        <v>4.4231285957629458</v>
      </c>
      <c r="Q44" s="1">
        <v>4.3011534303531356</v>
      </c>
      <c r="R44" s="1">
        <v>4.8453894583465429</v>
      </c>
      <c r="S44" s="1">
        <v>7.5589700135942426</v>
      </c>
      <c r="T44" s="1">
        <v>10.3740336621021</v>
      </c>
      <c r="U44" s="71">
        <v>10.707618741543239</v>
      </c>
      <c r="V44" s="1" t="str">
        <f t="shared" si="8"/>
        <v xml:space="preserve">    4.07271329233504, 4.42312859576295, 4.30115343035314, 4.84538945834654, 7.55897001359424, 10.3740336621021, 10.7076187415432,</v>
      </c>
    </row>
    <row r="45" spans="1:22" ht="15.75" customHeight="1" thickBot="1" x14ac:dyDescent="0.25">
      <c r="A45" s="75" t="s">
        <v>24</v>
      </c>
      <c r="B45" s="76"/>
      <c r="C45" s="72">
        <v>92.692685851985146</v>
      </c>
      <c r="D45" s="73">
        <v>91.028008929063319</v>
      </c>
      <c r="E45" s="73">
        <v>89.101176850288709</v>
      </c>
      <c r="F45" s="73">
        <v>84.121695311135312</v>
      </c>
      <c r="G45" s="73">
        <v>75.514536359946376</v>
      </c>
      <c r="H45" s="73">
        <v>58.551851548300363</v>
      </c>
      <c r="I45" s="74">
        <v>43.528644478603361</v>
      </c>
      <c r="J45" s="50"/>
      <c r="K45" s="50"/>
      <c r="L45" s="1"/>
      <c r="M45" s="75" t="s">
        <v>24</v>
      </c>
      <c r="N45" s="76"/>
      <c r="O45" s="72">
        <v>4.3508377678439567</v>
      </c>
      <c r="P45" s="73">
        <v>5.1455197984597092</v>
      </c>
      <c r="Q45" s="73">
        <v>5.0319449257944937</v>
      </c>
      <c r="R45" s="73">
        <v>5.4881092234662896</v>
      </c>
      <c r="S45" s="73">
        <v>8.3963724907401343</v>
      </c>
      <c r="T45" s="73">
        <v>11.26477476806841</v>
      </c>
      <c r="U45" s="74">
        <v>10.478269846537319</v>
      </c>
      <c r="V45" s="1"/>
    </row>
    <row r="46" spans="1:22" ht="15" x14ac:dyDescent="0.2">
      <c r="L46" s="11"/>
      <c r="M46" s="11"/>
      <c r="N46" s="11"/>
      <c r="O46" s="11"/>
      <c r="P46" s="11"/>
      <c r="Q46" s="11"/>
      <c r="R46" s="11"/>
      <c r="S46" s="11"/>
      <c r="T46" s="11"/>
      <c r="U46" s="11"/>
    </row>
    <row r="47" spans="1:22" ht="15" x14ac:dyDescent="0.2">
      <c r="L47" s="11"/>
      <c r="M47" s="11"/>
      <c r="N47" s="11"/>
      <c r="O47" s="11"/>
      <c r="P47" s="11"/>
      <c r="Q47" s="11"/>
      <c r="R47" s="11"/>
      <c r="S47" s="11"/>
      <c r="T47" s="11"/>
      <c r="U47" s="11"/>
    </row>
    <row r="48" spans="1:22" ht="15" x14ac:dyDescent="0.2"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</row>
    <row r="49" spans="10:21" ht="15" x14ac:dyDescent="0.2"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</row>
    <row r="50" spans="10:21" ht="15" x14ac:dyDescent="0.2"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</row>
    <row r="51" spans="10:21" ht="15" x14ac:dyDescent="0.2"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</row>
  </sheetData>
  <mergeCells count="56">
    <mergeCell ref="A2:B2"/>
    <mergeCell ref="M2:N2"/>
    <mergeCell ref="A25:B25"/>
    <mergeCell ref="M25:N25"/>
    <mergeCell ref="A3:B3"/>
    <mergeCell ref="M3:N3"/>
    <mergeCell ref="A14:B14"/>
    <mergeCell ref="A15:B15"/>
    <mergeCell ref="A4:B4"/>
    <mergeCell ref="M4:N4"/>
    <mergeCell ref="A5:I5"/>
    <mergeCell ref="M5:U5"/>
    <mergeCell ref="M18:U18"/>
    <mergeCell ref="A13:I13"/>
    <mergeCell ref="A39:B39"/>
    <mergeCell ref="A40:B40"/>
    <mergeCell ref="M39:N39"/>
    <mergeCell ref="M40:N40"/>
    <mergeCell ref="M14:N14"/>
    <mergeCell ref="M15:N15"/>
    <mergeCell ref="A37:B37"/>
    <mergeCell ref="A38:B38"/>
    <mergeCell ref="M37:N37"/>
    <mergeCell ref="M38:N38"/>
    <mergeCell ref="A26:B26"/>
    <mergeCell ref="M26:N26"/>
    <mergeCell ref="A27:B27"/>
    <mergeCell ref="M27:N27"/>
    <mergeCell ref="A28:I28"/>
    <mergeCell ref="A16:B16"/>
    <mergeCell ref="A36:I36"/>
    <mergeCell ref="M13:U13"/>
    <mergeCell ref="M36:U36"/>
    <mergeCell ref="A17:B17"/>
    <mergeCell ref="M16:N16"/>
    <mergeCell ref="M17:N17"/>
    <mergeCell ref="M28:U28"/>
    <mergeCell ref="A18:I18"/>
    <mergeCell ref="A19:B19"/>
    <mergeCell ref="A20:B20"/>
    <mergeCell ref="A21:B21"/>
    <mergeCell ref="A22:B22"/>
    <mergeCell ref="M19:N19"/>
    <mergeCell ref="M20:N20"/>
    <mergeCell ref="M21:N21"/>
    <mergeCell ref="M22:N22"/>
    <mergeCell ref="A44:B44"/>
    <mergeCell ref="M44:N44"/>
    <mergeCell ref="A45:B45"/>
    <mergeCell ref="M45:N45"/>
    <mergeCell ref="A41:I41"/>
    <mergeCell ref="M41:U41"/>
    <mergeCell ref="A42:B42"/>
    <mergeCell ref="M42:N42"/>
    <mergeCell ref="A43:B43"/>
    <mergeCell ref="M43:N43"/>
  </mergeCells>
  <phoneticPr fontId="1" type="noConversion"/>
  <conditionalFormatting sqref="C14:I16 C6:I7 C2:I4 C10:I12">
    <cfRule type="colorScale" priority="14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6 C6:I7 C2:I4 C12:I12">
    <cfRule type="colorScale" priority="14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6 C6:I12 C2:I4">
    <cfRule type="colorScale" priority="1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7 C6:I12 C2:I4 C19:I22">
    <cfRule type="colorScale" priority="15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9:I21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22">
    <cfRule type="colorScale" priority="2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41:J45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K22">
    <cfRule type="colorScale" priority="2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5 C3:K4">
    <cfRule type="colorScale" priority="8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7:K18 C2:K4 C6:K7 J5:K5 J8:K11 C12:K12 C14:K16 J13:K13 J22:K22 C19:K21">
    <cfRule type="colorScale" priority="1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41:K45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2">
    <cfRule type="colorScale" priority="2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41:K45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partialdata_20260407</vt:lpstr>
      <vt:lpstr>fullldata_20260407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2026-04-13T06:41:37Z</dcterms:modified>
</cp:coreProperties>
</file>