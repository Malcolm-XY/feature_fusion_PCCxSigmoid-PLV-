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2AF90FCA-7473-4A9F-948D-51FD143B870C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nm_basis_F, nm_modifier_F" sheetId="7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7" l="1" a="1"/>
  <c r="J4" i="7" s="1"/>
  <c r="K4" i="7" a="1"/>
  <c r="K4" i="7"/>
  <c r="L4" i="7"/>
  <c r="V4" i="7"/>
  <c r="K5" i="7" a="1"/>
  <c r="K5" i="7" s="1"/>
  <c r="J5" i="7" a="1"/>
  <c r="J5" i="7" s="1"/>
  <c r="V5" i="7"/>
  <c r="L5" i="7"/>
  <c r="V5" i="5"/>
  <c r="L5" i="5"/>
  <c r="K5" i="5" a="1"/>
  <c r="K5" i="5" s="1"/>
  <c r="J5" i="5" a="1"/>
  <c r="J5" i="5" s="1"/>
  <c r="V33" i="7"/>
  <c r="V32" i="7"/>
  <c r="V31" i="7"/>
  <c r="V30" i="7"/>
  <c r="V28" i="7"/>
  <c r="V27" i="7"/>
  <c r="V26" i="7"/>
  <c r="V25" i="7"/>
  <c r="V24" i="7"/>
  <c r="V22" i="7"/>
  <c r="V21" i="7"/>
  <c r="V20" i="7"/>
  <c r="V16" i="7"/>
  <c r="V15" i="7"/>
  <c r="V14" i="7"/>
  <c r="V13" i="7"/>
  <c r="V11" i="7"/>
  <c r="V10" i="7"/>
  <c r="V9" i="7"/>
  <c r="V8" i="7"/>
  <c r="V7" i="7"/>
  <c r="V3" i="7"/>
  <c r="L33" i="7"/>
  <c r="L32" i="7"/>
  <c r="L31" i="7"/>
  <c r="L30" i="7"/>
  <c r="L28" i="7"/>
  <c r="L27" i="7"/>
  <c r="L26" i="7"/>
  <c r="L25" i="7"/>
  <c r="L24" i="7"/>
  <c r="L22" i="7"/>
  <c r="L21" i="7"/>
  <c r="L20" i="7"/>
  <c r="L16" i="7"/>
  <c r="L15" i="7"/>
  <c r="L14" i="7"/>
  <c r="L13" i="7"/>
  <c r="L11" i="7"/>
  <c r="L10" i="7"/>
  <c r="L9" i="7"/>
  <c r="L8" i="7"/>
  <c r="L7" i="7"/>
  <c r="L3" i="7"/>
  <c r="V22" i="5"/>
  <c r="V24" i="5"/>
  <c r="V25" i="5"/>
  <c r="V26" i="5"/>
  <c r="V27" i="5"/>
  <c r="V28" i="5"/>
  <c r="V7" i="5"/>
  <c r="V8" i="5"/>
  <c r="V9" i="5"/>
  <c r="V10" i="5"/>
  <c r="V11" i="5"/>
  <c r="L22" i="5"/>
  <c r="L24" i="5"/>
  <c r="L25" i="5"/>
  <c r="L26" i="5"/>
  <c r="L27" i="5"/>
  <c r="L28" i="5"/>
  <c r="L7" i="5"/>
  <c r="L8" i="5"/>
  <c r="L9" i="5"/>
  <c r="L10" i="5"/>
  <c r="L11" i="5"/>
  <c r="K7" i="7" a="1"/>
  <c r="K7" i="7" s="1"/>
  <c r="K7" i="5" a="1"/>
  <c r="K7" i="5" s="1"/>
  <c r="K16" i="7" a="1"/>
  <c r="K16" i="7" s="1"/>
  <c r="J16" i="7" a="1"/>
  <c r="J16" i="7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1" i="7" a="1"/>
  <c r="K11" i="7" s="1"/>
  <c r="J11" i="7" a="1"/>
  <c r="J11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J7" i="7" a="1"/>
  <c r="J7" i="7" s="1"/>
  <c r="K3" i="7" a="1"/>
  <c r="K3" i="7" s="1"/>
  <c r="J3" i="7" a="1"/>
  <c r="J3" i="7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V33" i="5"/>
  <c r="V32" i="5"/>
  <c r="V31" i="5"/>
  <c r="V30" i="5"/>
  <c r="V21" i="5"/>
  <c r="V20" i="5"/>
  <c r="V16" i="5"/>
  <c r="V15" i="5"/>
  <c r="V14" i="5"/>
  <c r="V13" i="5"/>
  <c r="V4" i="5"/>
  <c r="V3" i="5"/>
  <c r="L4" i="5"/>
  <c r="L13" i="5"/>
  <c r="L14" i="5"/>
  <c r="L15" i="5"/>
  <c r="L16" i="5"/>
  <c r="K14" i="5" a="1"/>
  <c r="K14" i="5" s="1"/>
  <c r="J14" i="5" a="1"/>
  <c r="J14" i="5" s="1"/>
  <c r="L33" i="5"/>
  <c r="L21" i="5"/>
  <c r="J16" i="5" a="1"/>
  <c r="J16" i="5" s="1"/>
  <c r="J15" i="5" a="1"/>
  <c r="J15" i="5" s="1"/>
  <c r="J13" i="5" a="1"/>
  <c r="J13" i="5" s="1"/>
  <c r="J4" i="5" a="1"/>
  <c r="J4" i="5" s="1"/>
  <c r="J3" i="5" a="1"/>
  <c r="J3" i="5" s="1"/>
  <c r="K16" i="5" a="1"/>
  <c r="K16" i="5" s="1"/>
  <c r="K15" i="5" a="1"/>
  <c r="K15" i="5" s="1"/>
  <c r="K13" i="5" a="1"/>
  <c r="K13" i="5" s="1"/>
  <c r="K4" i="5" a="1"/>
  <c r="K4" i="5" s="1"/>
  <c r="K3" i="5" a="1"/>
  <c r="K3" i="5" s="1"/>
  <c r="L32" i="5"/>
  <c r="L31" i="5"/>
  <c r="L30" i="5"/>
  <c r="L20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<sst xmlns="http://schemas.openxmlformats.org/spreadsheetml/2006/main" count="180" uniqueCount="23">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</sst>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9" xfId="0" applyFont="1" applyFill="1" applyBorder="1"/>
    <xf numFmtId="0" fontId="2" fillId="2" borderId="8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F49-0B75-44E6-A9A8-BE7E9565B2B2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7" t="s">
        <v>20</v>
      </c>
      <c r="B2" s="79"/>
      <c r="C2" s="79"/>
      <c r="D2" s="79"/>
      <c r="E2" s="79"/>
      <c r="F2" s="79"/>
      <c r="G2" s="79"/>
      <c r="H2" s="79"/>
      <c r="I2" s="78"/>
      <c r="J2" s="13"/>
      <c r="K2" s="13"/>
      <c r="L2" s="68"/>
      <c r="M2" s="77" t="s">
        <v>20</v>
      </c>
      <c r="N2" s="79"/>
      <c r="O2" s="79"/>
      <c r="P2" s="79"/>
      <c r="Q2" s="79"/>
      <c r="R2" s="79"/>
      <c r="S2" s="79"/>
      <c r="T2" s="79"/>
      <c r="U2" s="78"/>
      <c r="V2" s="68"/>
    </row>
    <row r="3" spans="1:22" ht="15.75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73">
        <v>87.593900000000005</v>
      </c>
      <c r="D5" s="74">
        <v>87.663716814159287</v>
      </c>
      <c r="E5" s="74">
        <v>88.112094395280209</v>
      </c>
      <c r="F5" s="74">
        <v>87.970025692263789</v>
      </c>
      <c r="G5" s="74">
        <v>87.461708146264243</v>
      </c>
      <c r="H5" s="74">
        <v>75.251363189416281</v>
      </c>
      <c r="I5" s="75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76">
        <v>2.4529187882918819</v>
      </c>
      <c r="P5" s="74">
        <v>2.16276566139488</v>
      </c>
      <c r="Q5" s="74">
        <v>2.2973398804747198</v>
      </c>
      <c r="R5" s="74">
        <v>2.134165319654592</v>
      </c>
      <c r="S5" s="74">
        <v>2.3834878752826651</v>
      </c>
      <c r="T5" s="74">
        <v>3.787986046410059</v>
      </c>
      <c r="U5" s="75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9"/>
      <c r="C6" s="79"/>
      <c r="D6" s="79"/>
      <c r="E6" s="79"/>
      <c r="F6" s="79"/>
      <c r="G6" s="79"/>
      <c r="H6" s="79"/>
      <c r="I6" s="78"/>
      <c r="J6" s="18"/>
      <c r="K6" s="18"/>
      <c r="L6" s="68"/>
      <c r="M6" s="77" t="s">
        <v>21</v>
      </c>
      <c r="N6" s="79"/>
      <c r="O6" s="79"/>
      <c r="P6" s="79"/>
      <c r="Q6" s="79"/>
      <c r="R6" s="79"/>
      <c r="S6" s="79"/>
      <c r="T6" s="79"/>
      <c r="U6" s="78"/>
      <c r="V6" s="68"/>
    </row>
    <row r="7" spans="1:22" ht="15.75" customHeight="1" thickBot="1" x14ac:dyDescent="0.25">
      <c r="A7" s="21" t="s">
        <v>13</v>
      </c>
      <c r="B7" s="19" t="s">
        <v>8</v>
      </c>
      <c r="C7" s="32">
        <v>87.372664700098326</v>
      </c>
      <c r="D7" s="33">
        <v>87.640117994100308</v>
      </c>
      <c r="E7" s="33">
        <v>87.915498115612294</v>
      </c>
      <c r="F7" s="33">
        <v>88.043276037566656</v>
      </c>
      <c r="G7" s="33">
        <v>87.294128841944996</v>
      </c>
      <c r="H7" s="33">
        <v>74.915345288454049</v>
      </c>
      <c r="I7" s="34">
        <v>47.576244892545198</v>
      </c>
      <c r="J7" s="18" cm="1">
        <f t="array" ref="J7">-SUMPRODUCT((D1:H1-C1:G1)*(C7:G7+D7:H7)/2)</f>
        <v>78.294271216302334</v>
      </c>
      <c r="K7" s="18" cm="1">
        <f t="array" ref="K7">-SUMPRODUCT((D1:I1-C1:H1)*(C7:H7+D7:I7)/2)</f>
        <v>81.356560970827317</v>
      </c>
      <c r="L7" s="68" t="str">
        <f>"    "&amp;_xlfn.TEXTJOIN(", ",TRUE,C7:I7)&amp;","</f>
        <v xml:space="preserve">    87.3726647000983, 87.6401179941003, 87.9154981156123, 88.0432760375667, 87.294128841945, 74.915345288454, 47.5762448925452,</v>
      </c>
      <c r="M7" s="21" t="s">
        <v>13</v>
      </c>
      <c r="N7" s="19" t="s">
        <v>8</v>
      </c>
      <c r="O7" s="32">
        <v>2.8210517061999218</v>
      </c>
      <c r="P7" s="33">
        <v>2.2405937371047888</v>
      </c>
      <c r="Q7" s="33">
        <v>2.8089979917384742</v>
      </c>
      <c r="R7" s="33">
        <v>2.085576461366387</v>
      </c>
      <c r="S7" s="33">
        <v>2.2577969188428741</v>
      </c>
      <c r="T7" s="33">
        <v>3.584531425701218</v>
      </c>
      <c r="U7" s="34">
        <v>4.0886330584194859</v>
      </c>
      <c r="V7" s="68" t="str">
        <f t="shared" si="0"/>
        <v xml:space="preserve">    2.82105170619992, 2.24059373710479, 2.80899799173847, 2.08557646136639, 2.25779691884287, 3.58453142570122, 4.08863305841949,</v>
      </c>
    </row>
    <row r="8" spans="1:22" ht="15.75" customHeight="1" thickBot="1" x14ac:dyDescent="0.25">
      <c r="A8" s="21" t="s">
        <v>14</v>
      </c>
      <c r="B8" s="19" t="s">
        <v>8</v>
      </c>
      <c r="C8" s="35">
        <v>87.142576204523095</v>
      </c>
      <c r="D8" s="36">
        <v>87.647000983284158</v>
      </c>
      <c r="E8" s="36">
        <v>87.944050842423678</v>
      </c>
      <c r="F8" s="36">
        <v>88.210474715755922</v>
      </c>
      <c r="G8" s="36">
        <v>87.32573811192141</v>
      </c>
      <c r="H8" s="36">
        <v>74.04957366989909</v>
      </c>
      <c r="I8" s="37">
        <v>47.641404049054643</v>
      </c>
      <c r="J8" s="18" cm="1">
        <f t="array" ref="J8">-SUMPRODUCT((D1:H1-C1:G1)*(C8:G8+D8:H8)/2)</f>
        <v>78.258607412982244</v>
      </c>
      <c r="K8" s="18" cm="1">
        <f t="array" ref="K8">-SUMPRODUCT((D1:I1-C1:H1)*(C8:H8+D8:I8)/2)</f>
        <v>81.300881855956092</v>
      </c>
      <c r="L8" s="68" t="str">
        <f>"    "&amp;_xlfn.TEXTJOIN(", ",TRUE,C8:I8)&amp;","</f>
        <v xml:space="preserve">    87.1425762045231, 87.6470009832842, 87.9440508424237, 88.2104747157559, 87.3257381119214, 74.0495736698991, 47.6414040490546,</v>
      </c>
      <c r="M8" s="21" t="s">
        <v>14</v>
      </c>
      <c r="N8" s="19" t="s">
        <v>8</v>
      </c>
      <c r="O8" s="35">
        <v>2.625310544065147</v>
      </c>
      <c r="P8" s="36">
        <v>2.061912203732235</v>
      </c>
      <c r="Q8" s="36">
        <v>2.3556960795497188</v>
      </c>
      <c r="R8" s="36">
        <v>2.2287346071136271</v>
      </c>
      <c r="S8" s="36">
        <v>2.2647456933221641</v>
      </c>
      <c r="T8" s="36">
        <v>4.8851439030156536</v>
      </c>
      <c r="U8" s="37">
        <v>3.692838364537582</v>
      </c>
      <c r="V8" s="68" t="str">
        <f t="shared" si="0"/>
        <v xml:space="preserve">    2.62531054406515, 2.06191220373224, 2.35569607954972, 2.22873460711363, 2.26474569332216, 4.88514390301565, 3.69283836453758,</v>
      </c>
    </row>
    <row r="9" spans="1:22" ht="15.75" customHeight="1" thickBot="1" x14ac:dyDescent="0.25">
      <c r="A9" s="21" t="s">
        <v>15</v>
      </c>
      <c r="B9" s="19" t="s">
        <v>8</v>
      </c>
      <c r="C9" s="35">
        <v>87.485742379547702</v>
      </c>
      <c r="D9" s="36">
        <v>87.562438544739436</v>
      </c>
      <c r="E9" s="36">
        <v>88.068829891838732</v>
      </c>
      <c r="F9" s="36">
        <v>87.714230515258194</v>
      </c>
      <c r="G9" s="36">
        <v>87.714273768227528</v>
      </c>
      <c r="H9" s="36">
        <v>75.161939117120397</v>
      </c>
      <c r="I9" s="37">
        <v>48.299241342918201</v>
      </c>
      <c r="J9" s="18" cm="1">
        <f t="array" ref="J9">-SUMPRODUCT((D1:H1-C1:G1)*(C9:G9+D9:H9)/2)</f>
        <v>78.32847306925953</v>
      </c>
      <c r="K9" s="18" cm="1">
        <f t="array" ref="K9">-SUMPRODUCT((D1:I1-C1:H1)*(C9:H9+D9:I9)/2)</f>
        <v>81.4150025807605</v>
      </c>
      <c r="L9" s="68" t="str">
        <f>"    "&amp;_xlfn.TEXTJOIN(", ",TRUE,C9:I9)&amp;","</f>
        <v xml:space="preserve">    87.4857423795477, 87.5624385447394, 88.0688298918387, 87.7142305152582, 87.7142737682275, 75.1619391171204, 48.2992413429182,</v>
      </c>
      <c r="M9" s="21" t="s">
        <v>15</v>
      </c>
      <c r="N9" s="19" t="s">
        <v>8</v>
      </c>
      <c r="O9" s="35">
        <v>2.0029865382768839</v>
      </c>
      <c r="P9" s="36">
        <v>2.2066327378485942</v>
      </c>
      <c r="Q9" s="36">
        <v>2.296692513750652</v>
      </c>
      <c r="R9" s="36">
        <v>1.9854228156796621</v>
      </c>
      <c r="S9" s="36">
        <v>2.179526438762116</v>
      </c>
      <c r="T9" s="36">
        <v>3.6090656830902201</v>
      </c>
      <c r="U9" s="37">
        <v>3.945235173612172</v>
      </c>
      <c r="V9" s="68" t="str">
        <f t="shared" si="0"/>
        <v xml:space="preserve">    2.00298653827688, 2.20663273784859, 2.29669251375065, 1.98542281567966, 2.17952643876212, 3.60906568309022, 3.94523517361217,</v>
      </c>
    </row>
    <row r="10" spans="1:22" ht="15.75" customHeight="1" thickBot="1" x14ac:dyDescent="0.25">
      <c r="A10" s="21" t="s">
        <v>16</v>
      </c>
      <c r="B10" s="19" t="s">
        <v>8</v>
      </c>
      <c r="C10" s="35">
        <v>87.368731563421818</v>
      </c>
      <c r="D10" s="36">
        <v>87.099403974082833</v>
      </c>
      <c r="E10" s="36">
        <v>87.705014749262531</v>
      </c>
      <c r="F10" s="36">
        <v>87.628318584070797</v>
      </c>
      <c r="G10" s="36">
        <v>87.039446708016527</v>
      </c>
      <c r="H10" s="36">
        <v>74.949933246250694</v>
      </c>
      <c r="I10" s="37">
        <v>47.925544338618849</v>
      </c>
      <c r="J10" s="18" cm="1">
        <f t="array" ref="J10">-SUMPRODUCT((D1:H1-C1:G1)*(C10:G10+D10:H10)/2)</f>
        <v>78.025259878257316</v>
      </c>
      <c r="K10" s="18" cm="1">
        <f t="array" ref="K10">-SUMPRODUCT((D1:I1-C1:H1)*(C10:H10+D10:I10)/2)</f>
        <v>81.09714681787905</v>
      </c>
      <c r="L10" s="68" t="str">
        <f>"    "&amp;_xlfn.TEXTJOIN(", ",TRUE,C10:I10)&amp;","</f>
        <v xml:space="preserve">    87.3687315634218, 87.0994039740828, 87.7050147492625, 87.6283185840708, 87.0394467080165, 74.9499332462507, 47.9255443386188,</v>
      </c>
      <c r="M10" s="21" t="s">
        <v>16</v>
      </c>
      <c r="N10" s="19" t="s">
        <v>8</v>
      </c>
      <c r="O10" s="35">
        <v>2.4163043591529219</v>
      </c>
      <c r="P10" s="36">
        <v>2.2042180022071278</v>
      </c>
      <c r="Q10" s="36">
        <v>2.1277333370905551</v>
      </c>
      <c r="R10" s="36">
        <v>1.754812686740389</v>
      </c>
      <c r="S10" s="36">
        <v>1.6491434738158599</v>
      </c>
      <c r="T10" s="36">
        <v>4.1059227161634464</v>
      </c>
      <c r="U10" s="37">
        <v>3.4500099800505151</v>
      </c>
      <c r="V10" s="68" t="str">
        <f t="shared" si="0"/>
        <v xml:space="preserve">    2.41630435915292, 2.20421800220713, 2.12773333709056, 1.75481268674039, 1.64914347381586, 4.10592271616345, 3.45000998005052,</v>
      </c>
    </row>
    <row r="11" spans="1:22" ht="15.75" customHeight="1" thickBot="1" x14ac:dyDescent="0.25">
      <c r="A11" s="4" t="s">
        <v>17</v>
      </c>
      <c r="B11" s="19" t="s">
        <v>8</v>
      </c>
      <c r="C11" s="38">
        <v>87.757128810226178</v>
      </c>
      <c r="D11" s="39">
        <v>87.214361715931787</v>
      </c>
      <c r="E11" s="39">
        <v>87.421857743867449</v>
      </c>
      <c r="F11" s="39">
        <v>87.622418879056042</v>
      </c>
      <c r="G11" s="39">
        <v>86.807385877040446</v>
      </c>
      <c r="H11" s="39">
        <v>75.901045856798063</v>
      </c>
      <c r="I11" s="40">
        <v>48.250428925279053</v>
      </c>
      <c r="J11" s="18" cm="1">
        <f t="array" ref="J11">-SUMPRODUCT((D1:H1-C1:G1)*(C11:G11+D11:H11)/2)</f>
        <v>78.062303235033738</v>
      </c>
      <c r="K11" s="18" cm="1">
        <f t="array" ref="K11">-SUMPRODUCT((D1:I1-C1:H1)*(C11:H11+D11:I11)/2)</f>
        <v>81.166090104585663</v>
      </c>
      <c r="L11" s="68" t="str">
        <f>"    "&amp;_xlfn.TEXTJOIN(", ",TRUE,C11:I11)&amp;","</f>
        <v xml:space="preserve">    87.7571288102262, 87.2143617159318, 87.4218577438674, 87.622418879056, 86.8073858770404, 75.9010458567981, 48.2504289252791,</v>
      </c>
      <c r="M11" s="4" t="s">
        <v>17</v>
      </c>
      <c r="N11" s="19" t="s">
        <v>8</v>
      </c>
      <c r="O11" s="38">
        <v>2.4219047595763121</v>
      </c>
      <c r="P11" s="39">
        <v>2.3217688638534999</v>
      </c>
      <c r="Q11" s="39">
        <v>1.9206629777265249</v>
      </c>
      <c r="R11" s="39">
        <v>2.0167242206543352</v>
      </c>
      <c r="S11" s="39">
        <v>1.6755361920192899</v>
      </c>
      <c r="T11" s="39">
        <v>3.611109605289736</v>
      </c>
      <c r="U11" s="40">
        <v>3.8722711387036122</v>
      </c>
      <c r="V11" s="68" t="str">
        <f t="shared" si="0"/>
        <v xml:space="preserve">    2.42190475957631, 2.3217688638535, 1.92066297772652, 2.01672422065434, 1.67553619201929, 3.61110960528974, 3.87227113870361,</v>
      </c>
    </row>
    <row r="12" spans="1:22" ht="15.75" customHeight="1" thickBot="1" x14ac:dyDescent="0.25">
      <c r="A12" s="77" t="s">
        <v>22</v>
      </c>
      <c r="B12" s="79"/>
      <c r="C12" s="80"/>
      <c r="D12" s="80"/>
      <c r="E12" s="80"/>
      <c r="F12" s="80"/>
      <c r="G12" s="80"/>
      <c r="H12" s="80"/>
      <c r="I12" s="81"/>
      <c r="J12" s="18"/>
      <c r="K12" s="18"/>
      <c r="L12" s="68"/>
      <c r="M12" s="77" t="s">
        <v>22</v>
      </c>
      <c r="N12" s="79"/>
      <c r="O12" s="80"/>
      <c r="P12" s="80"/>
      <c r="Q12" s="80"/>
      <c r="R12" s="80"/>
      <c r="S12" s="80"/>
      <c r="T12" s="80"/>
      <c r="U12" s="81"/>
      <c r="V12" s="68"/>
    </row>
    <row r="13" spans="1:22" ht="15.75" customHeight="1" thickBot="1" x14ac:dyDescent="0.25">
      <c r="A13" s="77" t="s">
        <v>9</v>
      </c>
      <c r="B13" s="78"/>
      <c r="C13" s="50"/>
      <c r="D13" s="51"/>
      <c r="E13" s="51"/>
      <c r="F13" s="51"/>
      <c r="G13" s="51"/>
      <c r="H13" s="51"/>
      <c r="I13" s="52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68" t="str">
        <f>"    "&amp;_xlfn.TEXTJOIN(", ",TRUE,C13:I13)&amp;","</f>
        <v xml:space="preserve">    ,</v>
      </c>
      <c r="M13" s="77" t="s">
        <v>9</v>
      </c>
      <c r="N13" s="78"/>
      <c r="O13" s="50"/>
      <c r="P13" s="51"/>
      <c r="Q13" s="51"/>
      <c r="R13" s="51"/>
      <c r="S13" s="51"/>
      <c r="T13" s="51"/>
      <c r="U13" s="52"/>
      <c r="V13" s="68" t="str">
        <f t="shared" si="0"/>
        <v xml:space="preserve">    ,</v>
      </c>
    </row>
    <row r="14" spans="1:22" ht="15.75" customHeight="1" thickBot="1" x14ac:dyDescent="0.25">
      <c r="A14" s="82" t="s">
        <v>10</v>
      </c>
      <c r="B14" s="81"/>
      <c r="C14" s="53"/>
      <c r="D14" s="54"/>
      <c r="E14" s="54"/>
      <c r="F14" s="54"/>
      <c r="G14" s="54"/>
      <c r="H14" s="54"/>
      <c r="I14" s="55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68" t="str">
        <f>"    "&amp;_xlfn.TEXTJOIN(", ",TRUE,C14:I14)&amp;","</f>
        <v xml:space="preserve">    ,</v>
      </c>
      <c r="M14" s="77" t="s">
        <v>10</v>
      </c>
      <c r="N14" s="78"/>
      <c r="O14" s="53"/>
      <c r="P14" s="54"/>
      <c r="Q14" s="54"/>
      <c r="R14" s="54"/>
      <c r="S14" s="54"/>
      <c r="T14" s="54"/>
      <c r="U14" s="55"/>
      <c r="V14" s="68" t="str">
        <f t="shared" si="0"/>
        <v xml:space="preserve">    ,</v>
      </c>
    </row>
    <row r="15" spans="1:22" ht="15.75" customHeight="1" thickBot="1" x14ac:dyDescent="0.25">
      <c r="A15" s="77" t="s">
        <v>18</v>
      </c>
      <c r="B15" s="78"/>
      <c r="C15" s="53"/>
      <c r="D15" s="54"/>
      <c r="E15" s="54"/>
      <c r="F15" s="54"/>
      <c r="G15" s="54"/>
      <c r="H15" s="54"/>
      <c r="I15" s="55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68" t="str">
        <f>"    "&amp;_xlfn.TEXTJOIN(", ",TRUE,C15:I15)&amp;","</f>
        <v xml:space="preserve">    ,</v>
      </c>
      <c r="M15" s="77" t="s">
        <v>18</v>
      </c>
      <c r="N15" s="78"/>
      <c r="O15" s="53"/>
      <c r="P15" s="54"/>
      <c r="Q15" s="54"/>
      <c r="R15" s="54"/>
      <c r="S15" s="54"/>
      <c r="T15" s="54"/>
      <c r="U15" s="55"/>
      <c r="V15" s="68" t="str">
        <f t="shared" si="0"/>
        <v xml:space="preserve">    ,</v>
      </c>
    </row>
    <row r="16" spans="1:22" ht="15.75" customHeight="1" thickBot="1" x14ac:dyDescent="0.25">
      <c r="A16" s="77" t="s">
        <v>19</v>
      </c>
      <c r="B16" s="78"/>
      <c r="C16" s="56"/>
      <c r="D16" s="57"/>
      <c r="E16" s="57"/>
      <c r="F16" s="57"/>
      <c r="G16" s="57"/>
      <c r="H16" s="57"/>
      <c r="I16" s="58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68" t="str">
        <f>"    "&amp;_xlfn.TEXTJOIN(", ",TRUE,C16:I16)&amp;","</f>
        <v xml:space="preserve">    ,</v>
      </c>
      <c r="M16" s="77" t="s">
        <v>19</v>
      </c>
      <c r="N16" s="78"/>
      <c r="O16" s="56"/>
      <c r="P16" s="57"/>
      <c r="Q16" s="57"/>
      <c r="R16" s="57"/>
      <c r="S16" s="57"/>
      <c r="T16" s="57"/>
      <c r="U16" s="58"/>
      <c r="V16" s="68" t="str">
        <f t="shared" si="0"/>
        <v xml:space="preserve">    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0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0"/>
    </row>
    <row r="20" spans="1:22" ht="15.75" thickBot="1" x14ac:dyDescent="0.25">
      <c r="A20" s="83" t="s">
        <v>6</v>
      </c>
      <c r="B20" s="85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3"/>
      <c r="K23" s="23"/>
      <c r="L23" s="70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0"/>
    </row>
    <row r="24" spans="1:22" ht="15.75" thickBot="1" x14ac:dyDescent="0.25">
      <c r="A24" s="27" t="s">
        <v>13</v>
      </c>
      <c r="B24" s="20" t="s">
        <v>8</v>
      </c>
      <c r="C24" s="41">
        <v>86.842718761140446</v>
      </c>
      <c r="D24" s="42">
        <v>87.07393935801278</v>
      </c>
      <c r="E24" s="42">
        <v>87.589156103920175</v>
      </c>
      <c r="F24" s="42">
        <v>87.82487165196244</v>
      </c>
      <c r="G24" s="42">
        <v>87.057164977052352</v>
      </c>
      <c r="H24" s="42">
        <v>74.48327236193515</v>
      </c>
      <c r="I24" s="43">
        <v>46.192433208425911</v>
      </c>
      <c r="J24" s="23"/>
      <c r="K24" s="23"/>
      <c r="L24" s="70" t="str">
        <f t="shared" si="2"/>
        <v xml:space="preserve">    86.8427187611404, 87.0739393580128, 87.5891561039202, 87.8248716519624, 87.0571649770524, 74.4832723619351, 46.1924332084259,</v>
      </c>
      <c r="M24" s="27" t="s">
        <v>13</v>
      </c>
      <c r="N24" s="20" t="s">
        <v>8</v>
      </c>
      <c r="O24" s="41">
        <v>2.9607931691996932</v>
      </c>
      <c r="P24" s="42">
        <v>2.3613639362367178</v>
      </c>
      <c r="Q24" s="42">
        <v>2.9808181026138492</v>
      </c>
      <c r="R24" s="42">
        <v>2.136209418355453</v>
      </c>
      <c r="S24" s="42">
        <v>2.3798860160940389</v>
      </c>
      <c r="T24" s="42">
        <v>3.7122351618135458</v>
      </c>
      <c r="U24" s="43">
        <v>4.6380671772909539</v>
      </c>
      <c r="V24" s="70" t="str">
        <f t="shared" si="1"/>
        <v xml:space="preserve">    2.96079316919969, 2.36136393623672, 2.98081810261385, 2.13620941835545, 2.37988601609404, 3.71223516181355, 4.63806717729095,</v>
      </c>
    </row>
    <row r="25" spans="1:22" ht="15.75" thickBot="1" x14ac:dyDescent="0.25">
      <c r="A25" s="27" t="s">
        <v>14</v>
      </c>
      <c r="B25" s="20" t="s">
        <v>8</v>
      </c>
      <c r="C25" s="44">
        <v>86.641739169990657</v>
      </c>
      <c r="D25" s="45">
        <v>87.132717088079218</v>
      </c>
      <c r="E25" s="45">
        <v>87.573087231920823</v>
      </c>
      <c r="F25" s="45">
        <v>87.973569465591765</v>
      </c>
      <c r="G25" s="45">
        <v>87.004488697468787</v>
      </c>
      <c r="H25" s="45">
        <v>73.537490115757819</v>
      </c>
      <c r="I25" s="46">
        <v>46.20863417969359</v>
      </c>
      <c r="J25" s="23"/>
      <c r="K25" s="23"/>
      <c r="L25" s="70" t="str">
        <f t="shared" si="2"/>
        <v xml:space="preserve">    86.6417391699907, 87.1327170880792, 87.5730872319208, 87.9735694655918, 87.0044886974688, 73.5374901157578, 46.2086341796936,</v>
      </c>
      <c r="M25" s="27" t="s">
        <v>14</v>
      </c>
      <c r="N25" s="20" t="s">
        <v>8</v>
      </c>
      <c r="O25" s="44">
        <v>2.890796841616865</v>
      </c>
      <c r="P25" s="45">
        <v>2.1863316842896801</v>
      </c>
      <c r="Q25" s="45">
        <v>2.4713766193166058</v>
      </c>
      <c r="R25" s="45">
        <v>2.301609998555278</v>
      </c>
      <c r="S25" s="45">
        <v>2.449010273354169</v>
      </c>
      <c r="T25" s="45">
        <v>4.976948898539411</v>
      </c>
      <c r="U25" s="46">
        <v>3.894783589881829</v>
      </c>
      <c r="V25" s="70" t="str">
        <f t="shared" si="1"/>
        <v xml:space="preserve">    2.89079684161687, 2.18633168428968, 2.47137661931661, 2.30160999855528, 2.44901027335417, 4.97694889853941, 3.89478358988183,</v>
      </c>
    </row>
    <row r="26" spans="1:22" ht="15.75" thickBot="1" x14ac:dyDescent="0.25">
      <c r="A26" s="27" t="s">
        <v>15</v>
      </c>
      <c r="B26" s="20" t="s">
        <v>8</v>
      </c>
      <c r="C26" s="44">
        <v>86.989079921001249</v>
      </c>
      <c r="D26" s="45">
        <v>87.151316238722814</v>
      </c>
      <c r="E26" s="45">
        <v>87.73288770673193</v>
      </c>
      <c r="F26" s="45">
        <v>87.465462008654271</v>
      </c>
      <c r="G26" s="45">
        <v>87.511711266497414</v>
      </c>
      <c r="H26" s="45">
        <v>74.850166592479155</v>
      </c>
      <c r="I26" s="46">
        <v>46.943879000090682</v>
      </c>
      <c r="J26" s="23"/>
      <c r="K26" s="23"/>
      <c r="L26" s="70" t="str">
        <f t="shared" si="2"/>
        <v xml:space="preserve">    86.9890799210012, 87.1513162387228, 87.7328877067319, 87.4654620086543, 87.5117112664974, 74.8501665924792, 46.9438790000907,</v>
      </c>
      <c r="M26" s="27" t="s">
        <v>15</v>
      </c>
      <c r="N26" s="20" t="s">
        <v>8</v>
      </c>
      <c r="O26" s="44">
        <v>2.0122334822741998</v>
      </c>
      <c r="P26" s="45">
        <v>2.457129745811601</v>
      </c>
      <c r="Q26" s="45">
        <v>2.492782028447007</v>
      </c>
      <c r="R26" s="45">
        <v>2.0527259476033128</v>
      </c>
      <c r="S26" s="45">
        <v>2.2665820971716211</v>
      </c>
      <c r="T26" s="45">
        <v>3.630807448112352</v>
      </c>
      <c r="U26" s="46">
        <v>4.3979150320840477</v>
      </c>
      <c r="V26" s="70" t="str">
        <f t="shared" si="1"/>
        <v xml:space="preserve">    2.0122334822742, 2.4571297458116, 2.49278202844701, 2.05272594760331, 2.26658209717162, 3.63080744811235, 4.39791503208405,</v>
      </c>
    </row>
    <row r="27" spans="1:22" ht="15.75" thickBot="1" x14ac:dyDescent="0.25">
      <c r="A27" s="27" t="s">
        <v>16</v>
      </c>
      <c r="B27" s="20" t="s">
        <v>8</v>
      </c>
      <c r="C27" s="44">
        <v>86.970757694060723</v>
      </c>
      <c r="D27" s="45">
        <v>86.718906522775214</v>
      </c>
      <c r="E27" s="45">
        <v>87.395516527413534</v>
      </c>
      <c r="F27" s="45">
        <v>87.374651651762491</v>
      </c>
      <c r="G27" s="45">
        <v>86.844444148342888</v>
      </c>
      <c r="H27" s="45">
        <v>74.617744440597292</v>
      </c>
      <c r="I27" s="46">
        <v>46.570951344769739</v>
      </c>
      <c r="J27" s="23"/>
      <c r="K27" s="23"/>
      <c r="L27" s="70" t="str">
        <f t="shared" si="2"/>
        <v xml:space="preserve">    86.9707576940607, 86.7189065227752, 87.3955165274135, 87.3746516517625, 86.8444441483429, 74.6177444405973, 46.5709513447697,</v>
      </c>
      <c r="M27" s="27" t="s">
        <v>16</v>
      </c>
      <c r="N27" s="20" t="s">
        <v>8</v>
      </c>
      <c r="O27" s="44">
        <v>2.484821247039223</v>
      </c>
      <c r="P27" s="45">
        <v>2.339140393413262</v>
      </c>
      <c r="Q27" s="45">
        <v>2.1805693864369351</v>
      </c>
      <c r="R27" s="45">
        <v>1.7830782080141669</v>
      </c>
      <c r="S27" s="45">
        <v>1.713242462052579</v>
      </c>
      <c r="T27" s="45">
        <v>4.0918209095328413</v>
      </c>
      <c r="U27" s="46">
        <v>3.8044473316610419</v>
      </c>
      <c r="V27" s="70" t="str">
        <f t="shared" si="1"/>
        <v xml:space="preserve">    2.48482124703922, 2.33914039341326, 2.18056938643694, 1.78307820801417, 1.71324246205258, 4.09182090953284, 3.80444733166104,</v>
      </c>
    </row>
    <row r="28" spans="1:22" ht="15.75" thickBot="1" x14ac:dyDescent="0.25">
      <c r="A28" s="28" t="s">
        <v>17</v>
      </c>
      <c r="B28" s="20" t="s">
        <v>8</v>
      </c>
      <c r="C28" s="47">
        <v>87.287634799049286</v>
      </c>
      <c r="D28" s="48">
        <v>86.878696750662726</v>
      </c>
      <c r="E28" s="48">
        <v>87.083363148466532</v>
      </c>
      <c r="F28" s="48">
        <v>87.300294897904948</v>
      </c>
      <c r="G28" s="48">
        <v>86.527431822215689</v>
      </c>
      <c r="H28" s="48">
        <v>75.689128775848914</v>
      </c>
      <c r="I28" s="49">
        <v>46.886907074094779</v>
      </c>
      <c r="J28" s="23"/>
      <c r="K28" s="23"/>
      <c r="L28" s="70" t="str">
        <f t="shared" si="2"/>
        <v xml:space="preserve">    87.2876347990493, 86.8786967506627, 87.0833631484665, 87.3002948979049, 86.5274318222157, 75.6891287758489, 46.8869070740948,</v>
      </c>
      <c r="M28" s="28" t="s">
        <v>17</v>
      </c>
      <c r="N28" s="20" t="s">
        <v>8</v>
      </c>
      <c r="O28" s="47">
        <v>2.5152339820278629</v>
      </c>
      <c r="P28" s="48">
        <v>2.5980079882709322</v>
      </c>
      <c r="Q28" s="48">
        <v>2.0296317104437578</v>
      </c>
      <c r="R28" s="48">
        <v>2.161003670540631</v>
      </c>
      <c r="S28" s="48">
        <v>1.7804591714461351</v>
      </c>
      <c r="T28" s="48">
        <v>3.6175089321994709</v>
      </c>
      <c r="U28" s="49">
        <v>4.0563769517378363</v>
      </c>
      <c r="V28" s="70" t="str">
        <f t="shared" si="1"/>
        <v xml:space="preserve">    2.51523398202786, 2.59800798827093, 2.02963171044376, 2.16100367054063, 1.78045917144614, 3.61750893219947, 4.05637695173784,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3"/>
      <c r="K29" s="23"/>
      <c r="L29" s="70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0"/>
    </row>
    <row r="30" spans="1:22" ht="14.25" customHeight="1" thickBot="1" x14ac:dyDescent="0.25">
      <c r="A30" s="83" t="s">
        <v>9</v>
      </c>
      <c r="B30" s="85"/>
      <c r="C30" s="59"/>
      <c r="D30" s="60"/>
      <c r="E30" s="60"/>
      <c r="F30" s="60"/>
      <c r="G30" s="60"/>
      <c r="H30" s="60"/>
      <c r="I30" s="61"/>
      <c r="J30" s="23"/>
      <c r="K30" s="23"/>
      <c r="L30" s="70" t="str">
        <f t="shared" ref="L30:L33" si="3">"    "&amp;_xlfn.TEXTJOIN(", ",TRUE,C30:I30)&amp;","</f>
        <v xml:space="preserve">    ,</v>
      </c>
      <c r="M30" s="83" t="s">
        <v>9</v>
      </c>
      <c r="N30" s="85"/>
      <c r="O30" s="59"/>
      <c r="P30" s="60"/>
      <c r="Q30" s="60"/>
      <c r="R30" s="60"/>
      <c r="S30" s="60"/>
      <c r="T30" s="60"/>
      <c r="U30" s="61"/>
      <c r="V30" s="70" t="str">
        <f t="shared" si="1"/>
        <v xml:space="preserve">    ,</v>
      </c>
    </row>
    <row r="31" spans="1:22" ht="15.75" thickBot="1" x14ac:dyDescent="0.25">
      <c r="A31" s="83" t="s">
        <v>10</v>
      </c>
      <c r="B31" s="85"/>
      <c r="C31" s="62"/>
      <c r="D31" s="63"/>
      <c r="E31" s="63"/>
      <c r="F31" s="63"/>
      <c r="G31" s="63"/>
      <c r="H31" s="63"/>
      <c r="I31" s="64"/>
      <c r="J31" s="23"/>
      <c r="K31" s="23"/>
      <c r="L31" s="70" t="str">
        <f t="shared" si="3"/>
        <v xml:space="preserve">    ,</v>
      </c>
      <c r="M31" s="83" t="s">
        <v>10</v>
      </c>
      <c r="N31" s="85"/>
      <c r="O31" s="62"/>
      <c r="P31" s="63"/>
      <c r="Q31" s="63"/>
      <c r="R31" s="63"/>
      <c r="S31" s="63"/>
      <c r="T31" s="63"/>
      <c r="U31" s="64"/>
      <c r="V31" s="70" t="str">
        <f t="shared" si="1"/>
        <v xml:space="preserve">    ,</v>
      </c>
    </row>
    <row r="32" spans="1:22" ht="14.25" customHeight="1" thickBot="1" x14ac:dyDescent="0.25">
      <c r="A32" s="83" t="s">
        <v>18</v>
      </c>
      <c r="B32" s="85"/>
      <c r="C32" s="62"/>
      <c r="D32" s="63"/>
      <c r="E32" s="63"/>
      <c r="F32" s="63"/>
      <c r="G32" s="63"/>
      <c r="H32" s="63"/>
      <c r="I32" s="64"/>
      <c r="J32" s="23"/>
      <c r="K32" s="23"/>
      <c r="L32" s="70" t="str">
        <f t="shared" si="3"/>
        <v xml:space="preserve">    ,</v>
      </c>
      <c r="M32" s="83" t="s">
        <v>18</v>
      </c>
      <c r="N32" s="85"/>
      <c r="O32" s="62"/>
      <c r="P32" s="63"/>
      <c r="Q32" s="63"/>
      <c r="R32" s="63"/>
      <c r="S32" s="63"/>
      <c r="T32" s="63"/>
      <c r="U32" s="64"/>
      <c r="V32" s="70" t="str">
        <f t="shared" si="1"/>
        <v xml:space="preserve">    ,</v>
      </c>
    </row>
    <row r="33" spans="1:22" ht="15.75" thickBot="1" x14ac:dyDescent="0.25">
      <c r="A33" s="83" t="s">
        <v>19</v>
      </c>
      <c r="B33" s="85"/>
      <c r="C33" s="65"/>
      <c r="D33" s="66"/>
      <c r="E33" s="66"/>
      <c r="F33" s="66"/>
      <c r="G33" s="66"/>
      <c r="H33" s="66"/>
      <c r="I33" s="67"/>
      <c r="J33" s="23"/>
      <c r="K33" s="23"/>
      <c r="L33" s="70" t="str">
        <f t="shared" si="3"/>
        <v xml:space="preserve">    ,</v>
      </c>
      <c r="M33" s="83" t="s">
        <v>19</v>
      </c>
      <c r="N33" s="85"/>
      <c r="O33" s="65"/>
      <c r="P33" s="66"/>
      <c r="Q33" s="66"/>
      <c r="R33" s="66"/>
      <c r="S33" s="66"/>
      <c r="T33" s="66"/>
      <c r="U33" s="67"/>
      <c r="V33" s="70" t="str">
        <f t="shared" si="1"/>
        <v xml:space="preserve">    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  <mergeCell ref="A19:I19"/>
    <mergeCell ref="M19:U19"/>
    <mergeCell ref="A20:B20"/>
    <mergeCell ref="M20:N20"/>
    <mergeCell ref="A21:B21"/>
    <mergeCell ref="M21:N21"/>
    <mergeCell ref="A14:B14"/>
    <mergeCell ref="M14:N14"/>
    <mergeCell ref="A15:B15"/>
    <mergeCell ref="M15:N15"/>
    <mergeCell ref="A16:B16"/>
    <mergeCell ref="M16:N16"/>
    <mergeCell ref="A6:I6"/>
    <mergeCell ref="M6:U6"/>
    <mergeCell ref="A12:I12"/>
    <mergeCell ref="M12:U12"/>
    <mergeCell ref="A13:B13"/>
    <mergeCell ref="M13:N13"/>
    <mergeCell ref="A5:B5"/>
    <mergeCell ref="M5:N5"/>
    <mergeCell ref="M4:N4"/>
    <mergeCell ref="A4:B4"/>
    <mergeCell ref="A2:I2"/>
    <mergeCell ref="M2:U2"/>
    <mergeCell ref="A3:B3"/>
    <mergeCell ref="M3:N3"/>
  </mergeCells>
  <phoneticPr fontId="1" type="noConversion"/>
  <conditionalFormatting sqref="C3:I4 C7:I11 C13:I16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1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1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6 C3:K4">
    <cfRule type="colorScale" priority="1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1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7" t="s">
        <v>20</v>
      </c>
      <c r="B2" s="79"/>
      <c r="C2" s="79"/>
      <c r="D2" s="79"/>
      <c r="E2" s="79"/>
      <c r="F2" s="79"/>
      <c r="G2" s="79"/>
      <c r="H2" s="79"/>
      <c r="I2" s="78"/>
      <c r="J2" s="13"/>
      <c r="K2" s="13"/>
      <c r="L2" s="68"/>
      <c r="M2" s="77" t="s">
        <v>20</v>
      </c>
      <c r="N2" s="79"/>
      <c r="O2" s="79"/>
      <c r="P2" s="79"/>
      <c r="Q2" s="79"/>
      <c r="R2" s="79"/>
      <c r="S2" s="79"/>
      <c r="T2" s="79"/>
      <c r="U2" s="78"/>
      <c r="V2" s="68"/>
    </row>
    <row r="3" spans="1:22" ht="15.75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73">
        <v>87.593900000000005</v>
      </c>
      <c r="D5" s="74">
        <v>87.663716814159287</v>
      </c>
      <c r="E5" s="74">
        <v>88.112094395280209</v>
      </c>
      <c r="F5" s="74">
        <v>87.970025692263789</v>
      </c>
      <c r="G5" s="74">
        <v>87.461708146264243</v>
      </c>
      <c r="H5" s="74">
        <v>75.251363189416281</v>
      </c>
      <c r="I5" s="75">
        <v>47.720683858280204</v>
      </c>
      <c r="J5" s="18" cm="1">
        <f t="array" ref="J5">-SUMPRODUCT((D2:H2-C2:G2)*(C5:G5+D5:H5)/2)</f>
        <v>0</v>
      </c>
      <c r="K5" s="18" cm="1">
        <f t="array" ref="K5">-SUMPRODUCT((D2:I2-C2:H2)*(C5:H5+D5:I5)/2)</f>
        <v>0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76">
        <v>2.4529187882918819</v>
      </c>
      <c r="P5" s="74">
        <v>2.16276566139488</v>
      </c>
      <c r="Q5" s="74">
        <v>2.2973398804747198</v>
      </c>
      <c r="R5" s="74">
        <v>2.134165319654592</v>
      </c>
      <c r="S5" s="74">
        <v>2.3834878752826651</v>
      </c>
      <c r="T5" s="74">
        <v>3.787986046410059</v>
      </c>
      <c r="U5" s="75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9"/>
      <c r="C6" s="79"/>
      <c r="D6" s="79"/>
      <c r="E6" s="79"/>
      <c r="F6" s="79"/>
      <c r="G6" s="79"/>
      <c r="H6" s="79"/>
      <c r="I6" s="78"/>
      <c r="J6" s="18"/>
      <c r="K6" s="18"/>
      <c r="L6" s="68"/>
      <c r="M6" s="77" t="s">
        <v>21</v>
      </c>
      <c r="N6" s="79"/>
      <c r="O6" s="79"/>
      <c r="P6" s="79"/>
      <c r="Q6" s="79"/>
      <c r="R6" s="79"/>
      <c r="S6" s="79"/>
      <c r="T6" s="79"/>
      <c r="U6" s="78"/>
      <c r="V6" s="68"/>
    </row>
    <row r="7" spans="1:22" ht="15.75" customHeight="1" thickBot="1" x14ac:dyDescent="0.25">
      <c r="A7" s="21" t="s">
        <v>13</v>
      </c>
      <c r="B7" s="19" t="s">
        <v>8</v>
      </c>
      <c r="C7" s="32"/>
      <c r="D7" s="33"/>
      <c r="E7" s="33"/>
      <c r="F7" s="33"/>
      <c r="G7" s="33"/>
      <c r="H7" s="33"/>
      <c r="I7" s="34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68" t="str">
        <f>"    "&amp;_xlfn.TEXTJOIN(", ",TRUE,C7:I7)&amp;","</f>
        <v xml:space="preserve">    ,</v>
      </c>
      <c r="M7" s="21" t="s">
        <v>13</v>
      </c>
      <c r="N7" s="19" t="s">
        <v>8</v>
      </c>
      <c r="O7" s="32"/>
      <c r="P7" s="33"/>
      <c r="Q7" s="33"/>
      <c r="R7" s="33"/>
      <c r="S7" s="33"/>
      <c r="T7" s="33"/>
      <c r="U7" s="34"/>
      <c r="V7" s="68" t="str">
        <f t="shared" si="0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35"/>
      <c r="D8" s="36"/>
      <c r="E8" s="36"/>
      <c r="F8" s="36"/>
      <c r="G8" s="36"/>
      <c r="H8" s="36"/>
      <c r="I8" s="37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68" t="str">
        <f>"    "&amp;_xlfn.TEXTJOIN(", ",TRUE,C8:I8)&amp;","</f>
        <v xml:space="preserve">    ,</v>
      </c>
      <c r="M8" s="21" t="s">
        <v>14</v>
      </c>
      <c r="N8" s="19" t="s">
        <v>8</v>
      </c>
      <c r="O8" s="35"/>
      <c r="P8" s="36"/>
      <c r="Q8" s="36"/>
      <c r="R8" s="36"/>
      <c r="S8" s="36"/>
      <c r="T8" s="36"/>
      <c r="U8" s="37"/>
      <c r="V8" s="68" t="str">
        <f t="shared" si="0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35"/>
      <c r="D9" s="36"/>
      <c r="E9" s="36"/>
      <c r="F9" s="36"/>
      <c r="G9" s="36"/>
      <c r="H9" s="36"/>
      <c r="I9" s="37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68" t="str">
        <f>"    "&amp;_xlfn.TEXTJOIN(", ",TRUE,C9:I9)&amp;","</f>
        <v xml:space="preserve">    ,</v>
      </c>
      <c r="M9" s="21" t="s">
        <v>15</v>
      </c>
      <c r="N9" s="19" t="s">
        <v>8</v>
      </c>
      <c r="O9" s="35"/>
      <c r="P9" s="36"/>
      <c r="Q9" s="36"/>
      <c r="R9" s="36"/>
      <c r="S9" s="36"/>
      <c r="T9" s="36"/>
      <c r="U9" s="37"/>
      <c r="V9" s="68" t="str">
        <f t="shared" si="0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35"/>
      <c r="D10" s="36"/>
      <c r="E10" s="36"/>
      <c r="F10" s="36"/>
      <c r="G10" s="36"/>
      <c r="H10" s="36"/>
      <c r="I10" s="37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68" t="str">
        <f>"    "&amp;_xlfn.TEXTJOIN(", ",TRUE,C10:I10)&amp;","</f>
        <v xml:space="preserve">    ,</v>
      </c>
      <c r="M10" s="21" t="s">
        <v>16</v>
      </c>
      <c r="N10" s="19" t="s">
        <v>8</v>
      </c>
      <c r="O10" s="35"/>
      <c r="P10" s="36"/>
      <c r="Q10" s="36"/>
      <c r="R10" s="36"/>
      <c r="S10" s="36"/>
      <c r="T10" s="36"/>
      <c r="U10" s="37"/>
      <c r="V10" s="68" t="str">
        <f t="shared" si="0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38"/>
      <c r="D11" s="39"/>
      <c r="E11" s="39"/>
      <c r="F11" s="39"/>
      <c r="G11" s="39"/>
      <c r="H11" s="39"/>
      <c r="I11" s="40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68" t="str">
        <f>"    "&amp;_xlfn.TEXTJOIN(", ",TRUE,C11:I11)&amp;","</f>
        <v xml:space="preserve">    ,</v>
      </c>
      <c r="M11" s="4" t="s">
        <v>17</v>
      </c>
      <c r="N11" s="19" t="s">
        <v>8</v>
      </c>
      <c r="O11" s="38"/>
      <c r="P11" s="39"/>
      <c r="Q11" s="39"/>
      <c r="R11" s="39"/>
      <c r="S11" s="39"/>
      <c r="T11" s="39"/>
      <c r="U11" s="40"/>
      <c r="V11" s="68" t="str">
        <f t="shared" si="0"/>
        <v xml:space="preserve">    ,</v>
      </c>
    </row>
    <row r="12" spans="1:22" ht="15.75" customHeight="1" thickBot="1" x14ac:dyDescent="0.25">
      <c r="A12" s="77" t="s">
        <v>22</v>
      </c>
      <c r="B12" s="79"/>
      <c r="C12" s="80"/>
      <c r="D12" s="80"/>
      <c r="E12" s="80"/>
      <c r="F12" s="80"/>
      <c r="G12" s="80"/>
      <c r="H12" s="80"/>
      <c r="I12" s="81"/>
      <c r="J12" s="18"/>
      <c r="K12" s="18"/>
      <c r="L12" s="68"/>
      <c r="M12" s="77" t="s">
        <v>22</v>
      </c>
      <c r="N12" s="79"/>
      <c r="O12" s="80"/>
      <c r="P12" s="80"/>
      <c r="Q12" s="80"/>
      <c r="R12" s="80"/>
      <c r="S12" s="80"/>
      <c r="T12" s="80"/>
      <c r="U12" s="81"/>
      <c r="V12" s="68"/>
    </row>
    <row r="13" spans="1:22" ht="15.75" customHeight="1" thickBot="1" x14ac:dyDescent="0.25">
      <c r="A13" s="77" t="s">
        <v>9</v>
      </c>
      <c r="B13" s="78"/>
      <c r="C13" s="50"/>
      <c r="D13" s="51"/>
      <c r="E13" s="51"/>
      <c r="F13" s="51"/>
      <c r="G13" s="51"/>
      <c r="H13" s="51"/>
      <c r="I13" s="52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68" t="str">
        <f>"    "&amp;_xlfn.TEXTJOIN(", ",TRUE,C13:I13)&amp;","</f>
        <v xml:space="preserve">    ,</v>
      </c>
      <c r="M13" s="77" t="s">
        <v>9</v>
      </c>
      <c r="N13" s="78"/>
      <c r="O13" s="50"/>
      <c r="P13" s="51"/>
      <c r="Q13" s="51"/>
      <c r="R13" s="51"/>
      <c r="S13" s="51"/>
      <c r="T13" s="51"/>
      <c r="U13" s="52"/>
      <c r="V13" s="68" t="str">
        <f t="shared" si="0"/>
        <v xml:space="preserve">    ,</v>
      </c>
    </row>
    <row r="14" spans="1:22" ht="15.75" customHeight="1" thickBot="1" x14ac:dyDescent="0.25">
      <c r="A14" s="82" t="s">
        <v>10</v>
      </c>
      <c r="B14" s="81"/>
      <c r="C14" s="53"/>
      <c r="D14" s="54"/>
      <c r="E14" s="54"/>
      <c r="F14" s="54"/>
      <c r="G14" s="54"/>
      <c r="H14" s="54"/>
      <c r="I14" s="55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68" t="str">
        <f>"    "&amp;_xlfn.TEXTJOIN(", ",TRUE,C14:I14)&amp;","</f>
        <v xml:space="preserve">    ,</v>
      </c>
      <c r="M14" s="77" t="s">
        <v>10</v>
      </c>
      <c r="N14" s="78"/>
      <c r="O14" s="53"/>
      <c r="P14" s="54"/>
      <c r="Q14" s="54"/>
      <c r="R14" s="54"/>
      <c r="S14" s="54"/>
      <c r="T14" s="54"/>
      <c r="U14" s="55"/>
      <c r="V14" s="68" t="str">
        <f t="shared" si="0"/>
        <v xml:space="preserve">    ,</v>
      </c>
    </row>
    <row r="15" spans="1:22" ht="15.75" customHeight="1" thickBot="1" x14ac:dyDescent="0.25">
      <c r="A15" s="77" t="s">
        <v>18</v>
      </c>
      <c r="B15" s="78"/>
      <c r="C15" s="53"/>
      <c r="D15" s="54"/>
      <c r="E15" s="54"/>
      <c r="F15" s="54"/>
      <c r="G15" s="54"/>
      <c r="H15" s="54"/>
      <c r="I15" s="55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68" t="str">
        <f>"    "&amp;_xlfn.TEXTJOIN(", ",TRUE,C15:I15)&amp;","</f>
        <v xml:space="preserve">    ,</v>
      </c>
      <c r="M15" s="77" t="s">
        <v>18</v>
      </c>
      <c r="N15" s="78"/>
      <c r="O15" s="53"/>
      <c r="P15" s="54"/>
      <c r="Q15" s="54"/>
      <c r="R15" s="54"/>
      <c r="S15" s="54"/>
      <c r="T15" s="54"/>
      <c r="U15" s="55"/>
      <c r="V15" s="68" t="str">
        <f t="shared" si="0"/>
        <v xml:space="preserve">    ,</v>
      </c>
    </row>
    <row r="16" spans="1:22" ht="15.75" customHeight="1" thickBot="1" x14ac:dyDescent="0.25">
      <c r="A16" s="77" t="s">
        <v>19</v>
      </c>
      <c r="B16" s="78"/>
      <c r="C16" s="56"/>
      <c r="D16" s="57"/>
      <c r="E16" s="57"/>
      <c r="F16" s="57"/>
      <c r="G16" s="57"/>
      <c r="H16" s="57"/>
      <c r="I16" s="58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68" t="str">
        <f>"    "&amp;_xlfn.TEXTJOIN(", ",TRUE,C16:I16)&amp;","</f>
        <v xml:space="preserve">    ,</v>
      </c>
      <c r="M16" s="77" t="s">
        <v>19</v>
      </c>
      <c r="N16" s="78"/>
      <c r="O16" s="56"/>
      <c r="P16" s="57"/>
      <c r="Q16" s="57"/>
      <c r="R16" s="57"/>
      <c r="S16" s="57"/>
      <c r="T16" s="57"/>
      <c r="U16" s="58"/>
      <c r="V16" s="68" t="str">
        <f t="shared" si="0"/>
        <v xml:space="preserve">    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0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0"/>
    </row>
    <row r="20" spans="1:22" ht="15.75" thickBot="1" x14ac:dyDescent="0.25">
      <c r="A20" s="83" t="s">
        <v>6</v>
      </c>
      <c r="B20" s="85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3"/>
      <c r="K23" s="23"/>
      <c r="L23" s="70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0"/>
    </row>
    <row r="24" spans="1:22" ht="15.75" thickBot="1" x14ac:dyDescent="0.25">
      <c r="A24" s="27" t="s">
        <v>13</v>
      </c>
      <c r="B24" s="20" t="s">
        <v>8</v>
      </c>
      <c r="C24" s="41"/>
      <c r="D24" s="42"/>
      <c r="E24" s="42"/>
      <c r="F24" s="42"/>
      <c r="G24" s="42"/>
      <c r="H24" s="42"/>
      <c r="I24" s="43"/>
      <c r="J24" s="23"/>
      <c r="K24" s="23"/>
      <c r="L24" s="70" t="str">
        <f t="shared" si="2"/>
        <v xml:space="preserve">    ,</v>
      </c>
      <c r="M24" s="27" t="s">
        <v>13</v>
      </c>
      <c r="N24" s="20" t="s">
        <v>8</v>
      </c>
      <c r="O24" s="41"/>
      <c r="P24" s="42"/>
      <c r="Q24" s="42"/>
      <c r="R24" s="42"/>
      <c r="S24" s="42"/>
      <c r="T24" s="42"/>
      <c r="U24" s="43"/>
      <c r="V24" s="70" t="str">
        <f t="shared" si="1"/>
        <v xml:space="preserve">    ,</v>
      </c>
    </row>
    <row r="25" spans="1:22" ht="15.75" thickBot="1" x14ac:dyDescent="0.25">
      <c r="A25" s="27" t="s">
        <v>14</v>
      </c>
      <c r="B25" s="20" t="s">
        <v>8</v>
      </c>
      <c r="C25" s="44"/>
      <c r="D25" s="45"/>
      <c r="E25" s="45"/>
      <c r="F25" s="45"/>
      <c r="G25" s="45"/>
      <c r="H25" s="45"/>
      <c r="I25" s="46"/>
      <c r="J25" s="23"/>
      <c r="K25" s="23"/>
      <c r="L25" s="70" t="str">
        <f t="shared" si="2"/>
        <v xml:space="preserve">    ,</v>
      </c>
      <c r="M25" s="27" t="s">
        <v>14</v>
      </c>
      <c r="N25" s="20" t="s">
        <v>8</v>
      </c>
      <c r="O25" s="44"/>
      <c r="P25" s="45"/>
      <c r="Q25" s="45"/>
      <c r="R25" s="45"/>
      <c r="S25" s="45"/>
      <c r="T25" s="45"/>
      <c r="U25" s="46"/>
      <c r="V25" s="70" t="str">
        <f t="shared" si="1"/>
        <v xml:space="preserve">    ,</v>
      </c>
    </row>
    <row r="26" spans="1:22" ht="15.75" thickBot="1" x14ac:dyDescent="0.25">
      <c r="A26" s="27" t="s">
        <v>15</v>
      </c>
      <c r="B26" s="20" t="s">
        <v>8</v>
      </c>
      <c r="C26" s="44"/>
      <c r="D26" s="45"/>
      <c r="E26" s="45"/>
      <c r="F26" s="45"/>
      <c r="G26" s="45"/>
      <c r="H26" s="45"/>
      <c r="I26" s="46"/>
      <c r="J26" s="23"/>
      <c r="K26" s="23"/>
      <c r="L26" s="70" t="str">
        <f t="shared" si="2"/>
        <v xml:space="preserve">    ,</v>
      </c>
      <c r="M26" s="27" t="s">
        <v>15</v>
      </c>
      <c r="N26" s="20" t="s">
        <v>8</v>
      </c>
      <c r="O26" s="44"/>
      <c r="P26" s="45"/>
      <c r="Q26" s="45"/>
      <c r="R26" s="45"/>
      <c r="S26" s="45"/>
      <c r="T26" s="45"/>
      <c r="U26" s="46"/>
      <c r="V26" s="70" t="str">
        <f t="shared" si="1"/>
        <v xml:space="preserve">    ,</v>
      </c>
    </row>
    <row r="27" spans="1:22" ht="15.75" thickBot="1" x14ac:dyDescent="0.25">
      <c r="A27" s="27" t="s">
        <v>16</v>
      </c>
      <c r="B27" s="20" t="s">
        <v>8</v>
      </c>
      <c r="C27" s="44"/>
      <c r="D27" s="45"/>
      <c r="E27" s="45"/>
      <c r="F27" s="45"/>
      <c r="G27" s="45"/>
      <c r="H27" s="45"/>
      <c r="I27" s="46"/>
      <c r="J27" s="23"/>
      <c r="K27" s="23"/>
      <c r="L27" s="70" t="str">
        <f t="shared" si="2"/>
        <v xml:space="preserve">    ,</v>
      </c>
      <c r="M27" s="27" t="s">
        <v>16</v>
      </c>
      <c r="N27" s="20" t="s">
        <v>8</v>
      </c>
      <c r="O27" s="44"/>
      <c r="P27" s="45"/>
      <c r="Q27" s="45"/>
      <c r="R27" s="45"/>
      <c r="S27" s="45"/>
      <c r="T27" s="45"/>
      <c r="U27" s="46"/>
      <c r="V27" s="70" t="str">
        <f t="shared" si="1"/>
        <v xml:space="preserve">    ,</v>
      </c>
    </row>
    <row r="28" spans="1:22" ht="15.75" thickBot="1" x14ac:dyDescent="0.25">
      <c r="A28" s="28" t="s">
        <v>17</v>
      </c>
      <c r="B28" s="20" t="s">
        <v>8</v>
      </c>
      <c r="C28" s="47"/>
      <c r="D28" s="48"/>
      <c r="E28" s="48"/>
      <c r="F28" s="48"/>
      <c r="G28" s="48"/>
      <c r="H28" s="48"/>
      <c r="I28" s="49"/>
      <c r="J28" s="23"/>
      <c r="K28" s="23"/>
      <c r="L28" s="70" t="str">
        <f t="shared" si="2"/>
        <v xml:space="preserve">    ,</v>
      </c>
      <c r="M28" s="28" t="s">
        <v>17</v>
      </c>
      <c r="N28" s="20" t="s">
        <v>8</v>
      </c>
      <c r="O28" s="47"/>
      <c r="P28" s="48"/>
      <c r="Q28" s="48"/>
      <c r="R28" s="48"/>
      <c r="S28" s="48"/>
      <c r="T28" s="48"/>
      <c r="U28" s="49"/>
      <c r="V28" s="70" t="str">
        <f t="shared" si="1"/>
        <v xml:space="preserve">    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3"/>
      <c r="K29" s="23"/>
      <c r="L29" s="70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0"/>
    </row>
    <row r="30" spans="1:22" ht="14.25" customHeight="1" thickBot="1" x14ac:dyDescent="0.25">
      <c r="A30" s="83" t="s">
        <v>9</v>
      </c>
      <c r="B30" s="85"/>
      <c r="C30" s="59"/>
      <c r="D30" s="60"/>
      <c r="E30" s="60"/>
      <c r="F30" s="60"/>
      <c r="G30" s="60"/>
      <c r="H30" s="60"/>
      <c r="I30" s="61"/>
      <c r="J30" s="23"/>
      <c r="K30" s="23"/>
      <c r="L30" s="70" t="str">
        <f t="shared" ref="L30:L33" si="3">"    "&amp;_xlfn.TEXTJOIN(", ",TRUE,C30:I30)&amp;","</f>
        <v xml:space="preserve">    ,</v>
      </c>
      <c r="M30" s="83" t="s">
        <v>9</v>
      </c>
      <c r="N30" s="85"/>
      <c r="O30" s="59"/>
      <c r="P30" s="60"/>
      <c r="Q30" s="60"/>
      <c r="R30" s="60"/>
      <c r="S30" s="60"/>
      <c r="T30" s="60"/>
      <c r="U30" s="61"/>
      <c r="V30" s="70" t="str">
        <f t="shared" si="1"/>
        <v xml:space="preserve">    ,</v>
      </c>
    </row>
    <row r="31" spans="1:22" ht="15.75" thickBot="1" x14ac:dyDescent="0.25">
      <c r="A31" s="83" t="s">
        <v>10</v>
      </c>
      <c r="B31" s="85"/>
      <c r="C31" s="62"/>
      <c r="D31" s="63"/>
      <c r="E31" s="63"/>
      <c r="F31" s="63"/>
      <c r="G31" s="63"/>
      <c r="H31" s="63"/>
      <c r="I31" s="64"/>
      <c r="J31" s="23"/>
      <c r="K31" s="23"/>
      <c r="L31" s="70" t="str">
        <f t="shared" si="3"/>
        <v xml:space="preserve">    ,</v>
      </c>
      <c r="M31" s="83" t="s">
        <v>10</v>
      </c>
      <c r="N31" s="85"/>
      <c r="O31" s="62"/>
      <c r="P31" s="63"/>
      <c r="Q31" s="63"/>
      <c r="R31" s="63"/>
      <c r="S31" s="63"/>
      <c r="T31" s="63"/>
      <c r="U31" s="64"/>
      <c r="V31" s="70" t="str">
        <f t="shared" si="1"/>
        <v xml:space="preserve">    ,</v>
      </c>
    </row>
    <row r="32" spans="1:22" ht="14.25" customHeight="1" thickBot="1" x14ac:dyDescent="0.25">
      <c r="A32" s="83" t="s">
        <v>18</v>
      </c>
      <c r="B32" s="85"/>
      <c r="C32" s="62"/>
      <c r="D32" s="63"/>
      <c r="E32" s="63"/>
      <c r="F32" s="63"/>
      <c r="G32" s="63"/>
      <c r="H32" s="63"/>
      <c r="I32" s="64"/>
      <c r="J32" s="23"/>
      <c r="K32" s="23"/>
      <c r="L32" s="70" t="str">
        <f t="shared" si="3"/>
        <v xml:space="preserve">    ,</v>
      </c>
      <c r="M32" s="83" t="s">
        <v>18</v>
      </c>
      <c r="N32" s="85"/>
      <c r="O32" s="62"/>
      <c r="P32" s="63"/>
      <c r="Q32" s="63"/>
      <c r="R32" s="63"/>
      <c r="S32" s="63"/>
      <c r="T32" s="63"/>
      <c r="U32" s="64"/>
      <c r="V32" s="70" t="str">
        <f t="shared" si="1"/>
        <v xml:space="preserve">    ,</v>
      </c>
    </row>
    <row r="33" spans="1:22" ht="15.75" thickBot="1" x14ac:dyDescent="0.25">
      <c r="A33" s="83" t="s">
        <v>19</v>
      </c>
      <c r="B33" s="85"/>
      <c r="C33" s="65"/>
      <c r="D33" s="66"/>
      <c r="E33" s="66"/>
      <c r="F33" s="66"/>
      <c r="G33" s="66"/>
      <c r="H33" s="66"/>
      <c r="I33" s="67"/>
      <c r="J33" s="23"/>
      <c r="K33" s="23"/>
      <c r="L33" s="70" t="str">
        <f t="shared" si="3"/>
        <v xml:space="preserve">    ,</v>
      </c>
      <c r="M33" s="83" t="s">
        <v>19</v>
      </c>
      <c r="N33" s="85"/>
      <c r="O33" s="65"/>
      <c r="P33" s="66"/>
      <c r="Q33" s="66"/>
      <c r="R33" s="66"/>
      <c r="S33" s="66"/>
      <c r="T33" s="66"/>
      <c r="U33" s="67"/>
      <c r="V33" s="70" t="str">
        <f t="shared" si="1"/>
        <v xml:space="preserve">    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16:N16"/>
    <mergeCell ref="A3:B3"/>
    <mergeCell ref="M3:N3"/>
    <mergeCell ref="A20:B20"/>
    <mergeCell ref="M20:N20"/>
    <mergeCell ref="A4:B4"/>
    <mergeCell ref="M4:N4"/>
    <mergeCell ref="A13:B13"/>
    <mergeCell ref="A14:B14"/>
    <mergeCell ref="A12:I12"/>
    <mergeCell ref="A6:I6"/>
    <mergeCell ref="M12:U12"/>
    <mergeCell ref="A5:B5"/>
    <mergeCell ref="M5:N5"/>
  </mergeCells>
  <phoneticPr fontId="1" type="noConversion"/>
  <conditionalFormatting sqref="C3:I4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 C7:I11 C3:I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6:K16"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2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2026-04-30T07:30:01Z</dcterms:modified>
</cp:coreProperties>
</file>